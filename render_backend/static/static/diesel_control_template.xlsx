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GA\Desktop\CONTROL DIESEL\CONTROL DE DIESEL 2026\"/>
    </mc:Choice>
  </mc:AlternateContent>
  <xr:revisionPtr revIDLastSave="0" documentId="13_ncr:1_{91097261-48F0-4170-903A-5F1871F7E54A}" xr6:coauthVersionLast="47" xr6:coauthVersionMax="47" xr10:uidLastSave="{00000000-0000-0000-0000-000000000000}"/>
  <bookViews>
    <workbookView xWindow="-108" yWindow="-108" windowWidth="23256" windowHeight="12456" firstSheet="15" activeTab="20" xr2:uid="{00000000-000D-0000-FFFF-FFFF00000000}"/>
  </bookViews>
  <sheets>
    <sheet name="DIA 01" sheetId="94" r:id="rId1"/>
    <sheet name="DIA 02" sheetId="97" r:id="rId2"/>
    <sheet name="DIA 03" sheetId="98" r:id="rId3"/>
    <sheet name="DIA 04" sheetId="99" r:id="rId4"/>
    <sheet name="DIA 05" sheetId="100" r:id="rId5"/>
    <sheet name="DIA 06" sheetId="101" r:id="rId6"/>
    <sheet name="DIA 07" sheetId="102" r:id="rId7"/>
    <sheet name="DIA 08" sheetId="103" r:id="rId8"/>
    <sheet name="DIA 09" sheetId="104" r:id="rId9"/>
    <sheet name="DIA 10" sheetId="105" r:id="rId10"/>
    <sheet name="DIA 11" sheetId="106" r:id="rId11"/>
    <sheet name="DIA 12" sheetId="107" r:id="rId12"/>
    <sheet name="DIA 13" sheetId="108" r:id="rId13"/>
    <sheet name="DIA 14" sheetId="109" r:id="rId14"/>
    <sheet name="DIA 15" sheetId="110" r:id="rId15"/>
    <sheet name="DIA 16" sheetId="111" r:id="rId16"/>
    <sheet name="DIA 17" sheetId="112" r:id="rId17"/>
    <sheet name="DIA 18" sheetId="113" r:id="rId18"/>
    <sheet name="DIA 19" sheetId="114" r:id="rId19"/>
    <sheet name="DIA 20" sheetId="115" r:id="rId20"/>
    <sheet name="DIA 21" sheetId="116" r:id="rId21"/>
    <sheet name="DIA 22" sheetId="117" r:id="rId22"/>
    <sheet name="DIA 23" sheetId="118" r:id="rId23"/>
    <sheet name="CONSUMO DIARIO" sheetId="96" r:id="rId24"/>
    <sheet name="DIA 24" sheetId="119" r:id="rId25"/>
    <sheet name="DIA 25" sheetId="120" r:id="rId26"/>
    <sheet name="DIA 26" sheetId="121" r:id="rId27"/>
    <sheet name="DIA 27" sheetId="122" r:id="rId28"/>
    <sheet name="DIA 28" sheetId="123" r:id="rId29"/>
    <sheet name="DIA 29" sheetId="124" r:id="rId30"/>
    <sheet name="DIA 30" sheetId="125" r:id="rId31"/>
    <sheet name="DIA 31" sheetId="126" r:id="rId32"/>
    <sheet name="RENDIMIENTO" sheetId="127" r:id="rId33"/>
    <sheet name="Hoja1" sheetId="47" state="hidden" r:id="rId34"/>
  </sheets>
  <externalReferences>
    <externalReference r:id="rId35"/>
  </externalReferences>
  <definedNames>
    <definedName name="_xlnm.Print_Area" localSheetId="23">'CONSUMO DIARIO'!$A$1:$G$41</definedName>
    <definedName name="_xlnm.Print_Area" localSheetId="0">'DIA 01'!$A$1:$Q$36</definedName>
    <definedName name="_xlnm.Print_Area" localSheetId="1">'DIA 02'!$A$1:$R$66</definedName>
    <definedName name="_xlnm.Print_Area" localSheetId="2">'DIA 03'!$A$1:$R$66</definedName>
    <definedName name="_xlnm.Print_Area" localSheetId="3">'DIA 04'!$A$1:$R$66</definedName>
    <definedName name="_xlnm.Print_Area" localSheetId="4">'DIA 05'!$A$1:$R$66</definedName>
    <definedName name="_xlnm.Print_Area" localSheetId="5">'DIA 06'!$A$1:$R$66</definedName>
    <definedName name="_xlnm.Print_Area" localSheetId="6">'DIA 07'!$A$1:$R$66</definedName>
    <definedName name="_xlnm.Print_Area" localSheetId="7">'DIA 08'!$A$1:$R$66</definedName>
    <definedName name="_xlnm.Print_Area" localSheetId="8">'DIA 09'!$A$1:$R$66</definedName>
    <definedName name="_xlnm.Print_Area" localSheetId="9">'DIA 10'!$A$1:$R$66</definedName>
    <definedName name="_xlnm.Print_Area" localSheetId="10">'DIA 11'!$A$1:$R$66</definedName>
    <definedName name="_xlnm.Print_Area" localSheetId="11">'DIA 12'!$A$1:$R$66</definedName>
    <definedName name="_xlnm.Print_Area" localSheetId="12">'DIA 13'!$A$1:$R$66</definedName>
    <definedName name="_xlnm.Print_Area" localSheetId="13">'DIA 14'!$A$1:$R$66</definedName>
    <definedName name="_xlnm.Print_Area" localSheetId="14">'DIA 15'!$A$1:$R$66</definedName>
    <definedName name="_xlnm.Print_Area" localSheetId="15">'DIA 16'!$A$1:$R$66</definedName>
    <definedName name="_xlnm.Print_Area" localSheetId="16">'DIA 17'!$A$1:$R$66</definedName>
    <definedName name="_xlnm.Print_Area" localSheetId="17">'DIA 18'!$A$1:$R$66</definedName>
    <definedName name="_xlnm.Print_Area" localSheetId="18">'DIA 19'!$A$1:$R$66</definedName>
    <definedName name="_xlnm.Print_Area" localSheetId="19">'DIA 20'!$A$1:$R$66</definedName>
    <definedName name="_xlnm.Print_Area" localSheetId="20">'DIA 21'!$A$1:$R$66</definedName>
    <definedName name="_xlnm.Print_Area" localSheetId="21">'DIA 22'!$A$1:$R$66</definedName>
    <definedName name="_xlnm.Print_Area" localSheetId="22">'DIA 23'!$A$1:$R$66</definedName>
    <definedName name="_xlnm.Print_Area" localSheetId="24">'DIA 24'!$A$1:$R$66</definedName>
    <definedName name="_xlnm.Print_Area" localSheetId="25">'DIA 25'!$A$1:$R$66</definedName>
    <definedName name="_xlnm.Print_Area" localSheetId="26">'DIA 26'!$A$1:$R$66</definedName>
    <definedName name="_xlnm.Print_Area" localSheetId="27">'DIA 27'!$A$1:$R$66</definedName>
    <definedName name="_xlnm.Print_Area" localSheetId="28">'DIA 28'!$A$1:$R$66</definedName>
    <definedName name="_xlnm.Print_Area" localSheetId="29">'DIA 29'!$A$1:$R$66</definedName>
    <definedName name="_xlnm.Print_Area" localSheetId="30">'DIA 30'!$A$1:$R$66</definedName>
    <definedName name="_xlnm.Print_Area" localSheetId="31">'DIA 31'!$A$1:$R$66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7" i="110" l="1"/>
  <c r="C17" i="96"/>
  <c r="O8" i="94" l="1"/>
  <c r="O9" i="94"/>
  <c r="O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O25" i="94"/>
  <c r="O26" i="94"/>
  <c r="O27" i="94"/>
  <c r="O28" i="94"/>
  <c r="O29" i="94"/>
  <c r="O30" i="94"/>
  <c r="O31" i="94"/>
  <c r="O32" i="94"/>
  <c r="O33" i="94"/>
  <c r="O7" i="94"/>
  <c r="F7" i="127" l="1"/>
  <c r="F8" i="127"/>
  <c r="F9" i="127"/>
  <c r="F10" i="127"/>
  <c r="F11" i="127"/>
  <c r="F12" i="127"/>
  <c r="F13" i="127"/>
  <c r="F14" i="127"/>
  <c r="F15" i="127"/>
  <c r="F16" i="127"/>
  <c r="F17" i="127"/>
  <c r="F18" i="127"/>
  <c r="F19" i="127"/>
  <c r="F20" i="127"/>
  <c r="F21" i="127"/>
  <c r="F22" i="127"/>
  <c r="F23" i="127"/>
  <c r="F24" i="127"/>
  <c r="F25" i="127"/>
  <c r="F26" i="127"/>
  <c r="F27" i="127"/>
  <c r="F28" i="127"/>
  <c r="F29" i="127"/>
  <c r="F30" i="127"/>
  <c r="F31" i="127"/>
  <c r="F32" i="127"/>
  <c r="B30" i="127"/>
  <c r="B31" i="127"/>
  <c r="B32" i="127"/>
  <c r="B33" i="127"/>
  <c r="B7" i="127"/>
  <c r="B8" i="127"/>
  <c r="B9" i="127"/>
  <c r="B10" i="127"/>
  <c r="B11" i="127"/>
  <c r="B12" i="127"/>
  <c r="B13" i="127"/>
  <c r="B14" i="127"/>
  <c r="B15" i="127"/>
  <c r="B16" i="127"/>
  <c r="B17" i="127"/>
  <c r="B18" i="127"/>
  <c r="B19" i="127"/>
  <c r="B20" i="127"/>
  <c r="B21" i="127"/>
  <c r="B22" i="127"/>
  <c r="B23" i="127"/>
  <c r="B24" i="127"/>
  <c r="B25" i="127"/>
  <c r="B26" i="127"/>
  <c r="B27" i="127"/>
  <c r="B28" i="127"/>
  <c r="B29" i="127"/>
  <c r="O8" i="126"/>
  <c r="P8" i="126"/>
  <c r="Q8" i="126"/>
  <c r="O9" i="126"/>
  <c r="P9" i="126"/>
  <c r="Q9" i="126"/>
  <c r="O10" i="126"/>
  <c r="P10" i="126"/>
  <c r="Q10" i="126"/>
  <c r="O11" i="126"/>
  <c r="P11" i="126"/>
  <c r="Q11" i="126"/>
  <c r="O12" i="126"/>
  <c r="P12" i="126"/>
  <c r="Q12" i="126"/>
  <c r="O13" i="126"/>
  <c r="P13" i="126"/>
  <c r="Q13" i="126"/>
  <c r="O14" i="126"/>
  <c r="P14" i="126"/>
  <c r="Q14" i="126"/>
  <c r="O8" i="125"/>
  <c r="P8" i="125"/>
  <c r="Q8" i="125"/>
  <c r="O9" i="125"/>
  <c r="P9" i="125"/>
  <c r="Q9" i="125"/>
  <c r="O10" i="125"/>
  <c r="P10" i="125"/>
  <c r="Q10" i="125"/>
  <c r="O11" i="125"/>
  <c r="P11" i="125"/>
  <c r="Q11" i="125"/>
  <c r="O12" i="125"/>
  <c r="P12" i="125"/>
  <c r="Q12" i="125"/>
  <c r="O13" i="125"/>
  <c r="P13" i="125"/>
  <c r="Q13" i="125"/>
  <c r="O14" i="125"/>
  <c r="P14" i="125"/>
  <c r="Q14" i="125"/>
  <c r="O8" i="124"/>
  <c r="P8" i="124"/>
  <c r="Q8" i="124"/>
  <c r="O9" i="124"/>
  <c r="P9" i="124"/>
  <c r="Q9" i="124"/>
  <c r="O10" i="124"/>
  <c r="P10" i="124"/>
  <c r="Q10" i="124"/>
  <c r="O11" i="124"/>
  <c r="P11" i="124"/>
  <c r="Q11" i="124"/>
  <c r="O12" i="124"/>
  <c r="P12" i="124"/>
  <c r="Q12" i="124"/>
  <c r="O13" i="124"/>
  <c r="P13" i="124"/>
  <c r="Q13" i="124"/>
  <c r="O14" i="124"/>
  <c r="P14" i="124"/>
  <c r="Q14" i="124"/>
  <c r="O15" i="124"/>
  <c r="P15" i="124"/>
  <c r="Q15" i="124"/>
  <c r="O16" i="124"/>
  <c r="P16" i="124"/>
  <c r="Q16" i="124"/>
  <c r="O17" i="124"/>
  <c r="P17" i="124"/>
  <c r="Q17" i="124"/>
  <c r="O18" i="124"/>
  <c r="P18" i="124"/>
  <c r="Q18" i="124"/>
  <c r="O8" i="123"/>
  <c r="P8" i="123"/>
  <c r="Q8" i="123"/>
  <c r="O9" i="123"/>
  <c r="P9" i="123"/>
  <c r="Q9" i="123"/>
  <c r="O10" i="123"/>
  <c r="P10" i="123"/>
  <c r="Q10" i="123"/>
  <c r="O11" i="123"/>
  <c r="P11" i="123"/>
  <c r="Q11" i="123"/>
  <c r="O12" i="123"/>
  <c r="P12" i="123"/>
  <c r="Q12" i="123"/>
  <c r="O13" i="123"/>
  <c r="P13" i="123"/>
  <c r="Q13" i="123"/>
  <c r="O14" i="123"/>
  <c r="P14" i="123"/>
  <c r="Q14" i="123"/>
  <c r="O15" i="123"/>
  <c r="P15" i="123"/>
  <c r="Q15" i="123"/>
  <c r="O16" i="123"/>
  <c r="P16" i="123"/>
  <c r="Q16" i="123"/>
  <c r="O8" i="122"/>
  <c r="P8" i="122"/>
  <c r="Q8" i="122"/>
  <c r="O9" i="122"/>
  <c r="P9" i="122"/>
  <c r="Q9" i="122"/>
  <c r="O10" i="122"/>
  <c r="P10" i="122"/>
  <c r="Q10" i="122"/>
  <c r="O11" i="122"/>
  <c r="P11" i="122"/>
  <c r="Q11" i="122"/>
  <c r="O12" i="122"/>
  <c r="P12" i="122"/>
  <c r="Q12" i="122"/>
  <c r="O13" i="122"/>
  <c r="P13" i="122"/>
  <c r="Q13" i="122"/>
  <c r="O14" i="122"/>
  <c r="P14" i="122"/>
  <c r="Q14" i="122"/>
  <c r="O15" i="122"/>
  <c r="P15" i="122"/>
  <c r="Q15" i="122"/>
  <c r="O8" i="121"/>
  <c r="P8" i="121"/>
  <c r="Q8" i="121"/>
  <c r="O9" i="121"/>
  <c r="P9" i="121"/>
  <c r="Q9" i="121"/>
  <c r="O10" i="121"/>
  <c r="P10" i="121"/>
  <c r="Q10" i="121"/>
  <c r="O11" i="121"/>
  <c r="P11" i="121"/>
  <c r="Q11" i="121"/>
  <c r="O12" i="121"/>
  <c r="P12" i="121"/>
  <c r="Q12" i="121"/>
  <c r="O13" i="121"/>
  <c r="P13" i="121"/>
  <c r="Q13" i="121"/>
  <c r="O14" i="121"/>
  <c r="P14" i="121"/>
  <c r="Q14" i="121"/>
  <c r="O15" i="121"/>
  <c r="P15" i="121"/>
  <c r="Q15" i="121"/>
  <c r="O16" i="121"/>
  <c r="P16" i="121"/>
  <c r="Q16" i="121"/>
  <c r="O17" i="121"/>
  <c r="P17" i="121"/>
  <c r="Q17" i="121"/>
  <c r="O18" i="121"/>
  <c r="P18" i="121"/>
  <c r="Q18" i="121"/>
  <c r="O8" i="120"/>
  <c r="P8" i="120"/>
  <c r="Q8" i="120"/>
  <c r="O9" i="120"/>
  <c r="P9" i="120"/>
  <c r="Q9" i="120"/>
  <c r="O10" i="120"/>
  <c r="P10" i="120"/>
  <c r="Q10" i="120"/>
  <c r="O11" i="120"/>
  <c r="P11" i="120"/>
  <c r="Q11" i="120"/>
  <c r="O12" i="120"/>
  <c r="P12" i="120"/>
  <c r="Q12" i="120"/>
  <c r="O13" i="120"/>
  <c r="P13" i="120"/>
  <c r="Q13" i="120"/>
  <c r="O14" i="120"/>
  <c r="P14" i="120"/>
  <c r="Q14" i="120"/>
  <c r="O8" i="119"/>
  <c r="P8" i="119"/>
  <c r="Q8" i="119"/>
  <c r="O9" i="119"/>
  <c r="P9" i="119"/>
  <c r="Q9" i="119"/>
  <c r="O10" i="119"/>
  <c r="P10" i="119"/>
  <c r="Q10" i="119"/>
  <c r="O11" i="119"/>
  <c r="P11" i="119"/>
  <c r="Q11" i="119"/>
  <c r="O12" i="119"/>
  <c r="P12" i="119"/>
  <c r="Q12" i="119"/>
  <c r="O13" i="119"/>
  <c r="P13" i="119"/>
  <c r="Q13" i="119"/>
  <c r="O14" i="119"/>
  <c r="P14" i="119"/>
  <c r="Q14" i="119"/>
  <c r="O15" i="119"/>
  <c r="P15" i="119"/>
  <c r="Q15" i="119"/>
  <c r="O16" i="119"/>
  <c r="P16" i="119"/>
  <c r="Q16" i="119"/>
  <c r="O17" i="119"/>
  <c r="P17" i="119"/>
  <c r="Q17" i="119"/>
  <c r="O18" i="119"/>
  <c r="P18" i="119"/>
  <c r="Q18" i="119"/>
  <c r="O19" i="119"/>
  <c r="P19" i="119"/>
  <c r="Q19" i="119"/>
  <c r="O20" i="119"/>
  <c r="P20" i="119"/>
  <c r="Q20" i="119"/>
  <c r="O21" i="119"/>
  <c r="P21" i="119"/>
  <c r="Q21" i="119"/>
  <c r="O22" i="119"/>
  <c r="P22" i="119"/>
  <c r="Q22" i="119"/>
  <c r="O23" i="119"/>
  <c r="P23" i="119"/>
  <c r="Q23" i="119"/>
  <c r="O24" i="119"/>
  <c r="P24" i="119"/>
  <c r="Q24" i="119"/>
  <c r="O25" i="119"/>
  <c r="P25" i="119"/>
  <c r="Q25" i="119"/>
  <c r="O8" i="118"/>
  <c r="P8" i="118"/>
  <c r="Q8" i="118"/>
  <c r="O9" i="118"/>
  <c r="P9" i="118"/>
  <c r="Q9" i="118"/>
  <c r="O10" i="118"/>
  <c r="P10" i="118"/>
  <c r="Q10" i="118"/>
  <c r="O11" i="118"/>
  <c r="P11" i="118"/>
  <c r="Q11" i="118"/>
  <c r="O12" i="118"/>
  <c r="P12" i="118"/>
  <c r="Q12" i="118"/>
  <c r="O13" i="118"/>
  <c r="P13" i="118"/>
  <c r="Q13" i="118"/>
  <c r="O14" i="118"/>
  <c r="P14" i="118"/>
  <c r="Q14" i="118"/>
  <c r="O15" i="118"/>
  <c r="P15" i="118"/>
  <c r="Q15" i="118"/>
  <c r="O16" i="118"/>
  <c r="P16" i="118"/>
  <c r="Q16" i="118"/>
  <c r="O17" i="118"/>
  <c r="P17" i="118"/>
  <c r="Q17" i="118"/>
  <c r="O18" i="118"/>
  <c r="P18" i="118"/>
  <c r="Q18" i="118"/>
  <c r="O19" i="118"/>
  <c r="P19" i="118"/>
  <c r="Q19" i="118"/>
  <c r="O20" i="118"/>
  <c r="P20" i="118"/>
  <c r="Q20" i="118"/>
  <c r="O21" i="118"/>
  <c r="P21" i="118"/>
  <c r="Q21" i="118"/>
  <c r="O22" i="118"/>
  <c r="P22" i="118"/>
  <c r="Q22" i="118"/>
  <c r="O23" i="118"/>
  <c r="P23" i="118"/>
  <c r="Q23" i="118"/>
  <c r="O24" i="118"/>
  <c r="P24" i="118"/>
  <c r="Q24" i="118"/>
  <c r="O8" i="117"/>
  <c r="P8" i="117"/>
  <c r="Q8" i="117"/>
  <c r="O9" i="117"/>
  <c r="P9" i="117"/>
  <c r="Q9" i="117"/>
  <c r="O10" i="117"/>
  <c r="P10" i="117"/>
  <c r="Q10" i="117"/>
  <c r="O11" i="117"/>
  <c r="P11" i="117"/>
  <c r="Q11" i="117"/>
  <c r="O12" i="117"/>
  <c r="P12" i="117"/>
  <c r="Q12" i="117"/>
  <c r="O13" i="117"/>
  <c r="P13" i="117"/>
  <c r="Q13" i="117"/>
  <c r="O14" i="117"/>
  <c r="P14" i="117"/>
  <c r="Q14" i="117"/>
  <c r="O15" i="117"/>
  <c r="P15" i="117"/>
  <c r="Q15" i="117"/>
  <c r="O16" i="117"/>
  <c r="P16" i="117"/>
  <c r="Q16" i="117"/>
  <c r="O17" i="117"/>
  <c r="P17" i="117"/>
  <c r="Q17" i="117"/>
  <c r="O18" i="117"/>
  <c r="P18" i="117"/>
  <c r="Q18" i="117"/>
  <c r="O19" i="117"/>
  <c r="P19" i="117"/>
  <c r="Q19" i="117"/>
  <c r="O20" i="117"/>
  <c r="P20" i="117"/>
  <c r="Q20" i="117"/>
  <c r="O21" i="117"/>
  <c r="P21" i="117"/>
  <c r="Q21" i="117"/>
  <c r="O22" i="117"/>
  <c r="P22" i="117"/>
  <c r="Q22" i="117"/>
  <c r="O23" i="117"/>
  <c r="P23" i="117"/>
  <c r="Q23" i="117"/>
  <c r="O8" i="116"/>
  <c r="P8" i="116"/>
  <c r="Q8" i="116"/>
  <c r="O9" i="116"/>
  <c r="P9" i="116"/>
  <c r="Q9" i="116"/>
  <c r="O10" i="116"/>
  <c r="P10" i="116"/>
  <c r="Q10" i="116"/>
  <c r="O11" i="116"/>
  <c r="P11" i="116"/>
  <c r="Q11" i="116"/>
  <c r="O12" i="116"/>
  <c r="P12" i="116"/>
  <c r="Q12" i="116"/>
  <c r="O13" i="116"/>
  <c r="P13" i="116"/>
  <c r="Q13" i="116"/>
  <c r="O14" i="116"/>
  <c r="P14" i="116"/>
  <c r="Q14" i="116"/>
  <c r="O15" i="116"/>
  <c r="P15" i="116"/>
  <c r="Q15" i="116"/>
  <c r="O16" i="116"/>
  <c r="P16" i="116"/>
  <c r="Q16" i="116"/>
  <c r="O17" i="116"/>
  <c r="P17" i="116"/>
  <c r="Q17" i="116"/>
  <c r="O18" i="116"/>
  <c r="P18" i="116"/>
  <c r="Q18" i="116"/>
  <c r="O19" i="116"/>
  <c r="P19" i="116"/>
  <c r="Q19" i="116"/>
  <c r="O20" i="116"/>
  <c r="P20" i="116"/>
  <c r="Q20" i="116"/>
  <c r="O21" i="116"/>
  <c r="P21" i="116"/>
  <c r="Q21" i="116"/>
  <c r="O22" i="116"/>
  <c r="P22" i="116"/>
  <c r="Q22" i="116"/>
  <c r="O23" i="116"/>
  <c r="P23" i="116"/>
  <c r="Q23" i="116"/>
  <c r="O24" i="116"/>
  <c r="P24" i="116"/>
  <c r="Q24" i="116"/>
  <c r="O25" i="116"/>
  <c r="P25" i="116"/>
  <c r="Q25" i="116"/>
  <c r="O10" i="115"/>
  <c r="P10" i="115"/>
  <c r="Q10" i="115"/>
  <c r="O11" i="115"/>
  <c r="P11" i="115"/>
  <c r="Q11" i="115"/>
  <c r="O12" i="115"/>
  <c r="P12" i="115"/>
  <c r="Q12" i="115"/>
  <c r="O13" i="115"/>
  <c r="P13" i="115"/>
  <c r="Q13" i="115"/>
  <c r="O14" i="115"/>
  <c r="P14" i="115"/>
  <c r="Q14" i="115"/>
  <c r="O15" i="115"/>
  <c r="P15" i="115"/>
  <c r="Q15" i="115"/>
  <c r="O16" i="115"/>
  <c r="P16" i="115"/>
  <c r="Q16" i="115"/>
  <c r="O17" i="115"/>
  <c r="P17" i="115"/>
  <c r="Q17" i="115"/>
  <c r="O18" i="115"/>
  <c r="P18" i="115"/>
  <c r="Q18" i="115"/>
  <c r="O19" i="115"/>
  <c r="P19" i="115"/>
  <c r="Q19" i="115"/>
  <c r="O20" i="115"/>
  <c r="P20" i="115"/>
  <c r="Q20" i="115"/>
  <c r="O21" i="115"/>
  <c r="P21" i="115"/>
  <c r="Q21" i="115"/>
  <c r="O9" i="114"/>
  <c r="P9" i="114"/>
  <c r="Q9" i="114"/>
  <c r="O10" i="114"/>
  <c r="P10" i="114"/>
  <c r="Q10" i="114"/>
  <c r="O11" i="114"/>
  <c r="P11" i="114"/>
  <c r="Q11" i="114"/>
  <c r="O12" i="114"/>
  <c r="P12" i="114"/>
  <c r="Q12" i="114"/>
  <c r="O13" i="114"/>
  <c r="P13" i="114"/>
  <c r="Q13" i="114"/>
  <c r="O14" i="114"/>
  <c r="P14" i="114"/>
  <c r="Q14" i="114"/>
  <c r="O15" i="114"/>
  <c r="P15" i="114"/>
  <c r="Q15" i="114"/>
  <c r="O16" i="114"/>
  <c r="P16" i="114"/>
  <c r="Q16" i="114"/>
  <c r="O17" i="114"/>
  <c r="P17" i="114"/>
  <c r="Q17" i="114"/>
  <c r="O18" i="114"/>
  <c r="P18" i="114"/>
  <c r="Q18" i="114"/>
  <c r="O19" i="114"/>
  <c r="P19" i="114"/>
  <c r="Q19" i="114"/>
  <c r="O20" i="114"/>
  <c r="P20" i="114"/>
  <c r="Q20" i="114"/>
  <c r="O21" i="114"/>
  <c r="P21" i="114"/>
  <c r="Q21" i="114"/>
  <c r="O22" i="114"/>
  <c r="P22" i="114"/>
  <c r="Q22" i="114"/>
  <c r="O23" i="114"/>
  <c r="P23" i="114"/>
  <c r="Q23" i="114"/>
  <c r="O24" i="114"/>
  <c r="P24" i="114"/>
  <c r="Q24" i="114"/>
  <c r="O25" i="114"/>
  <c r="P25" i="114"/>
  <c r="Q25" i="114"/>
  <c r="O26" i="114"/>
  <c r="P26" i="114"/>
  <c r="Q26" i="114"/>
  <c r="O9" i="113"/>
  <c r="P9" i="113"/>
  <c r="Q9" i="113"/>
  <c r="O10" i="113"/>
  <c r="P10" i="113"/>
  <c r="Q10" i="113"/>
  <c r="O11" i="113"/>
  <c r="P11" i="113"/>
  <c r="Q11" i="113"/>
  <c r="O12" i="113"/>
  <c r="P12" i="113"/>
  <c r="Q12" i="113"/>
  <c r="O13" i="113"/>
  <c r="P13" i="113"/>
  <c r="Q13" i="113"/>
  <c r="O14" i="113"/>
  <c r="P14" i="113"/>
  <c r="Q14" i="113"/>
  <c r="O15" i="113"/>
  <c r="P15" i="113"/>
  <c r="Q15" i="113"/>
  <c r="O16" i="113"/>
  <c r="P16" i="113"/>
  <c r="Q16" i="113"/>
  <c r="O17" i="113"/>
  <c r="P17" i="113"/>
  <c r="Q17" i="113"/>
  <c r="O18" i="113"/>
  <c r="P18" i="113"/>
  <c r="Q18" i="113"/>
  <c r="O10" i="112"/>
  <c r="P10" i="112"/>
  <c r="Q10" i="112"/>
  <c r="O11" i="112"/>
  <c r="P11" i="112"/>
  <c r="Q11" i="112"/>
  <c r="O12" i="112"/>
  <c r="P12" i="112"/>
  <c r="Q12" i="112"/>
  <c r="O13" i="112"/>
  <c r="P13" i="112"/>
  <c r="Q13" i="112"/>
  <c r="O14" i="112"/>
  <c r="P14" i="112"/>
  <c r="Q14" i="112"/>
  <c r="O15" i="112"/>
  <c r="P15" i="112"/>
  <c r="Q15" i="112"/>
  <c r="O16" i="112"/>
  <c r="P16" i="112"/>
  <c r="Q16" i="112"/>
  <c r="O8" i="111"/>
  <c r="P8" i="111"/>
  <c r="Q8" i="111"/>
  <c r="O9" i="111"/>
  <c r="P9" i="111"/>
  <c r="Q9" i="111"/>
  <c r="O10" i="111"/>
  <c r="P10" i="111"/>
  <c r="Q10" i="111"/>
  <c r="O11" i="111"/>
  <c r="P11" i="111"/>
  <c r="Q11" i="111"/>
  <c r="O12" i="111"/>
  <c r="P12" i="111"/>
  <c r="Q12" i="111"/>
  <c r="O13" i="111"/>
  <c r="P13" i="111"/>
  <c r="Q13" i="111"/>
  <c r="O14" i="111"/>
  <c r="P14" i="111"/>
  <c r="Q14" i="111"/>
  <c r="O15" i="111"/>
  <c r="P15" i="111"/>
  <c r="Q15" i="111"/>
  <c r="O8" i="110"/>
  <c r="P8" i="110"/>
  <c r="Q8" i="110"/>
  <c r="O9" i="110"/>
  <c r="P9" i="110"/>
  <c r="Q9" i="110"/>
  <c r="O10" i="110"/>
  <c r="P10" i="110"/>
  <c r="Q10" i="110"/>
  <c r="O11" i="110"/>
  <c r="P11" i="110"/>
  <c r="Q11" i="110"/>
  <c r="O12" i="110"/>
  <c r="P12" i="110"/>
  <c r="Q12" i="110"/>
  <c r="O13" i="110"/>
  <c r="P13" i="110"/>
  <c r="Q13" i="110"/>
  <c r="O14" i="110"/>
  <c r="P14" i="110"/>
  <c r="Q14" i="110"/>
  <c r="O8" i="109"/>
  <c r="P8" i="109"/>
  <c r="Q8" i="109"/>
  <c r="O9" i="109"/>
  <c r="P9" i="109"/>
  <c r="Q9" i="109"/>
  <c r="O10" i="109"/>
  <c r="P10" i="109"/>
  <c r="Q10" i="109"/>
  <c r="O11" i="109"/>
  <c r="P11" i="109"/>
  <c r="Q11" i="109"/>
  <c r="O12" i="109"/>
  <c r="P12" i="109"/>
  <c r="Q12" i="109"/>
  <c r="O13" i="109"/>
  <c r="P13" i="109"/>
  <c r="Q13" i="109"/>
  <c r="O14" i="109"/>
  <c r="P14" i="109"/>
  <c r="Q14" i="109"/>
  <c r="O15" i="109"/>
  <c r="P15" i="109"/>
  <c r="Q15" i="109"/>
  <c r="O16" i="109"/>
  <c r="P16" i="109"/>
  <c r="Q16" i="109"/>
  <c r="O17" i="109"/>
  <c r="P17" i="109"/>
  <c r="Q17" i="109"/>
  <c r="O10" i="108"/>
  <c r="P10" i="108"/>
  <c r="Q10" i="108"/>
  <c r="O11" i="108"/>
  <c r="P11" i="108"/>
  <c r="Q11" i="108"/>
  <c r="O12" i="108"/>
  <c r="P12" i="108"/>
  <c r="Q12" i="108"/>
  <c r="O13" i="108"/>
  <c r="P13" i="108"/>
  <c r="Q13" i="108"/>
  <c r="O14" i="108"/>
  <c r="P14" i="108"/>
  <c r="Q14" i="108"/>
  <c r="O15" i="108"/>
  <c r="P15" i="108"/>
  <c r="Q15" i="108"/>
  <c r="O16" i="108"/>
  <c r="P16" i="108"/>
  <c r="Q16" i="108"/>
  <c r="O17" i="108"/>
  <c r="P17" i="108"/>
  <c r="Q17" i="108"/>
  <c r="O18" i="108"/>
  <c r="P18" i="108"/>
  <c r="Q18" i="108"/>
  <c r="O19" i="108"/>
  <c r="P19" i="108"/>
  <c r="Q19" i="108"/>
  <c r="O20" i="108"/>
  <c r="P20" i="108"/>
  <c r="Q20" i="108"/>
  <c r="O21" i="108"/>
  <c r="P21" i="108"/>
  <c r="Q21" i="108"/>
  <c r="O22" i="108"/>
  <c r="P22" i="108"/>
  <c r="Q22" i="108"/>
  <c r="O10" i="107"/>
  <c r="P10" i="107"/>
  <c r="Q10" i="107"/>
  <c r="O11" i="107"/>
  <c r="P11" i="107"/>
  <c r="Q11" i="107"/>
  <c r="O12" i="107"/>
  <c r="P12" i="107"/>
  <c r="Q12" i="107"/>
  <c r="O13" i="107"/>
  <c r="P13" i="107"/>
  <c r="Q13" i="107"/>
  <c r="O14" i="107"/>
  <c r="P14" i="107"/>
  <c r="Q14" i="107"/>
  <c r="O15" i="107"/>
  <c r="P15" i="107"/>
  <c r="Q15" i="107"/>
  <c r="O9" i="106"/>
  <c r="P9" i="106"/>
  <c r="Q9" i="106"/>
  <c r="O10" i="106"/>
  <c r="P10" i="106"/>
  <c r="Q10" i="106"/>
  <c r="O11" i="106"/>
  <c r="P11" i="106"/>
  <c r="Q11" i="106"/>
  <c r="O12" i="106"/>
  <c r="P12" i="106"/>
  <c r="Q12" i="106"/>
  <c r="O13" i="106"/>
  <c r="P13" i="106"/>
  <c r="Q13" i="106"/>
  <c r="O14" i="106"/>
  <c r="P14" i="106"/>
  <c r="Q14" i="106"/>
  <c r="O15" i="106"/>
  <c r="P15" i="106"/>
  <c r="Q15" i="106"/>
  <c r="O16" i="106"/>
  <c r="P16" i="106"/>
  <c r="Q16" i="106"/>
  <c r="O9" i="105"/>
  <c r="P9" i="105"/>
  <c r="Q9" i="105"/>
  <c r="O10" i="105"/>
  <c r="P10" i="105"/>
  <c r="Q10" i="105"/>
  <c r="O11" i="105"/>
  <c r="P11" i="105"/>
  <c r="Q11" i="105"/>
  <c r="O12" i="105"/>
  <c r="P12" i="105"/>
  <c r="Q12" i="105"/>
  <c r="O13" i="105"/>
  <c r="P13" i="105"/>
  <c r="Q13" i="105"/>
  <c r="O14" i="105"/>
  <c r="P14" i="105"/>
  <c r="Q14" i="105"/>
  <c r="O15" i="105"/>
  <c r="P15" i="105"/>
  <c r="Q15" i="105"/>
  <c r="O16" i="105"/>
  <c r="P16" i="105"/>
  <c r="Q16" i="105"/>
  <c r="O17" i="105"/>
  <c r="P17" i="105"/>
  <c r="Q17" i="105"/>
  <c r="O18" i="105"/>
  <c r="P18" i="105"/>
  <c r="Q18" i="105"/>
  <c r="O10" i="104"/>
  <c r="P10" i="104"/>
  <c r="Q10" i="104"/>
  <c r="O11" i="104"/>
  <c r="P11" i="104"/>
  <c r="Q11" i="104"/>
  <c r="O12" i="104"/>
  <c r="P12" i="104"/>
  <c r="Q12" i="104"/>
  <c r="O13" i="104"/>
  <c r="P13" i="104"/>
  <c r="Q13" i="104"/>
  <c r="O14" i="104"/>
  <c r="P14" i="104"/>
  <c r="Q14" i="104"/>
  <c r="O15" i="104"/>
  <c r="P15" i="104"/>
  <c r="Q15" i="104"/>
  <c r="O16" i="104"/>
  <c r="P16" i="104"/>
  <c r="Q16" i="104"/>
  <c r="O17" i="104"/>
  <c r="P17" i="104"/>
  <c r="Q17" i="104"/>
  <c r="O18" i="104"/>
  <c r="P18" i="104"/>
  <c r="Q18" i="104"/>
  <c r="O19" i="104"/>
  <c r="P19" i="104"/>
  <c r="Q19" i="104"/>
  <c r="O20" i="104"/>
  <c r="P20" i="104"/>
  <c r="Q20" i="104"/>
  <c r="O21" i="104"/>
  <c r="P21" i="104"/>
  <c r="Q21" i="104"/>
  <c r="O22" i="104"/>
  <c r="P22" i="104"/>
  <c r="Q22" i="104"/>
  <c r="O23" i="104"/>
  <c r="P23" i="104"/>
  <c r="Q23" i="104"/>
  <c r="O11" i="103"/>
  <c r="P11" i="103"/>
  <c r="Q11" i="103"/>
  <c r="O12" i="103"/>
  <c r="P12" i="103"/>
  <c r="Q12" i="103"/>
  <c r="O13" i="103"/>
  <c r="P13" i="103"/>
  <c r="Q13" i="103"/>
  <c r="O14" i="103"/>
  <c r="P14" i="103"/>
  <c r="Q14" i="103"/>
  <c r="O15" i="103"/>
  <c r="P15" i="103"/>
  <c r="Q15" i="103"/>
  <c r="O16" i="103"/>
  <c r="P16" i="103"/>
  <c r="Q16" i="103"/>
  <c r="O17" i="103"/>
  <c r="P17" i="103"/>
  <c r="Q17" i="103"/>
  <c r="O18" i="103"/>
  <c r="P18" i="103"/>
  <c r="Q18" i="103"/>
  <c r="O19" i="103"/>
  <c r="P19" i="103"/>
  <c r="Q19" i="103"/>
  <c r="O20" i="103"/>
  <c r="P20" i="103"/>
  <c r="Q20" i="103"/>
  <c r="O21" i="103"/>
  <c r="P21" i="103"/>
  <c r="Q21" i="103"/>
  <c r="O22" i="103"/>
  <c r="P22" i="103"/>
  <c r="Q22" i="103"/>
  <c r="O23" i="103"/>
  <c r="P23" i="103"/>
  <c r="Q23" i="103"/>
  <c r="O24" i="103"/>
  <c r="P24" i="103"/>
  <c r="Q24" i="103"/>
  <c r="O25" i="103"/>
  <c r="P25" i="103"/>
  <c r="Q25" i="103"/>
  <c r="O11" i="102"/>
  <c r="P11" i="102"/>
  <c r="Q11" i="102"/>
  <c r="O12" i="102"/>
  <c r="P12" i="102"/>
  <c r="Q12" i="102"/>
  <c r="O13" i="102"/>
  <c r="P13" i="102"/>
  <c r="Q13" i="102"/>
  <c r="O14" i="102"/>
  <c r="P14" i="102"/>
  <c r="Q14" i="102"/>
  <c r="O15" i="102"/>
  <c r="P15" i="102"/>
  <c r="Q15" i="102"/>
  <c r="O16" i="102"/>
  <c r="P16" i="102"/>
  <c r="Q16" i="102"/>
  <c r="O11" i="101"/>
  <c r="P11" i="101"/>
  <c r="Q11" i="101"/>
  <c r="O12" i="101"/>
  <c r="P12" i="101"/>
  <c r="Q12" i="101"/>
  <c r="O13" i="101"/>
  <c r="P13" i="101"/>
  <c r="Q13" i="101"/>
  <c r="O14" i="101"/>
  <c r="P14" i="101"/>
  <c r="Q14" i="101"/>
  <c r="O15" i="101"/>
  <c r="P15" i="101"/>
  <c r="Q15" i="101"/>
  <c r="O16" i="101"/>
  <c r="P16" i="101"/>
  <c r="Q16" i="101"/>
  <c r="O17" i="101"/>
  <c r="P17" i="101"/>
  <c r="Q17" i="101"/>
  <c r="O18" i="101"/>
  <c r="P18" i="101"/>
  <c r="Q18" i="101"/>
  <c r="O19" i="101"/>
  <c r="P19" i="101"/>
  <c r="Q19" i="101"/>
  <c r="O20" i="101"/>
  <c r="P20" i="101"/>
  <c r="Q20" i="101"/>
  <c r="O21" i="101"/>
  <c r="P21" i="101"/>
  <c r="Q21" i="101"/>
  <c r="O22" i="101"/>
  <c r="P22" i="101"/>
  <c r="Q22" i="101"/>
  <c r="O23" i="101"/>
  <c r="P23" i="101"/>
  <c r="Q23" i="101"/>
  <c r="O24" i="101"/>
  <c r="P24" i="101"/>
  <c r="Q24" i="101"/>
  <c r="O25" i="101"/>
  <c r="P25" i="101"/>
  <c r="Q25" i="101"/>
  <c r="O26" i="101"/>
  <c r="P26" i="101"/>
  <c r="Q26" i="101"/>
  <c r="O27" i="101"/>
  <c r="P27" i="101"/>
  <c r="Q27" i="101"/>
  <c r="O28" i="101"/>
  <c r="P28" i="101"/>
  <c r="Q28" i="101"/>
  <c r="O29" i="101"/>
  <c r="P29" i="101"/>
  <c r="Q29" i="101"/>
  <c r="O30" i="101"/>
  <c r="P30" i="101"/>
  <c r="Q30" i="101"/>
  <c r="O31" i="101"/>
  <c r="P31" i="101"/>
  <c r="Q31" i="101"/>
  <c r="O32" i="101"/>
  <c r="P32" i="101"/>
  <c r="Q32" i="101"/>
  <c r="O33" i="101"/>
  <c r="P33" i="101"/>
  <c r="Q33" i="101"/>
  <c r="O23" i="100"/>
  <c r="P23" i="100"/>
  <c r="Q23" i="100"/>
  <c r="O24" i="100"/>
  <c r="P24" i="100"/>
  <c r="Q24" i="100"/>
  <c r="O25" i="100"/>
  <c r="P25" i="100"/>
  <c r="Q25" i="100"/>
  <c r="O26" i="100"/>
  <c r="P26" i="100"/>
  <c r="Q26" i="100"/>
  <c r="O27" i="100"/>
  <c r="P27" i="100"/>
  <c r="Q27" i="100"/>
  <c r="O28" i="100"/>
  <c r="P28" i="100"/>
  <c r="Q28" i="100"/>
  <c r="O29" i="100"/>
  <c r="P29" i="100"/>
  <c r="Q29" i="100"/>
  <c r="O30" i="100"/>
  <c r="P30" i="100"/>
  <c r="Q30" i="100"/>
  <c r="O25" i="99"/>
  <c r="P25" i="99"/>
  <c r="Q25" i="99"/>
  <c r="O26" i="99"/>
  <c r="P26" i="99"/>
  <c r="Q26" i="99"/>
  <c r="O27" i="99"/>
  <c r="P27" i="99"/>
  <c r="Q27" i="99"/>
  <c r="O28" i="99"/>
  <c r="P28" i="99"/>
  <c r="Q28" i="99"/>
  <c r="O29" i="99"/>
  <c r="P29" i="99"/>
  <c r="Q29" i="99"/>
  <c r="O30" i="99"/>
  <c r="P30" i="99"/>
  <c r="Q30" i="99"/>
  <c r="O31" i="99"/>
  <c r="P31" i="99"/>
  <c r="Q31" i="99"/>
  <c r="O26" i="98"/>
  <c r="P26" i="98"/>
  <c r="Q26" i="98"/>
  <c r="O27" i="98"/>
  <c r="P27" i="98"/>
  <c r="Q27" i="98"/>
  <c r="O28" i="98"/>
  <c r="P28" i="98"/>
  <c r="Q28" i="98"/>
  <c r="O29" i="98"/>
  <c r="P29" i="98"/>
  <c r="Q29" i="98"/>
  <c r="O30" i="98"/>
  <c r="P30" i="98"/>
  <c r="Q30" i="98"/>
  <c r="O31" i="98"/>
  <c r="P31" i="98"/>
  <c r="Q31" i="98"/>
  <c r="O32" i="98"/>
  <c r="P32" i="98"/>
  <c r="Q32" i="98"/>
  <c r="O33" i="98"/>
  <c r="P33" i="98"/>
  <c r="Q33" i="98"/>
  <c r="O28" i="97"/>
  <c r="G27" i="127" s="1"/>
  <c r="H27" i="127" s="1"/>
  <c r="P28" i="97"/>
  <c r="Q28" i="97"/>
  <c r="O29" i="97"/>
  <c r="P29" i="97"/>
  <c r="Q29" i="97"/>
  <c r="O30" i="97"/>
  <c r="P30" i="97"/>
  <c r="Q30" i="97"/>
  <c r="O31" i="97"/>
  <c r="G30" i="127" s="1"/>
  <c r="H30" i="127" s="1"/>
  <c r="P31" i="97"/>
  <c r="Q31" i="97"/>
  <c r="O32" i="97"/>
  <c r="P32" i="97"/>
  <c r="Q32" i="97"/>
  <c r="O33" i="97"/>
  <c r="P33" i="97"/>
  <c r="Q33" i="97"/>
  <c r="O34" i="97"/>
  <c r="P34" i="97"/>
  <c r="Q34" i="97"/>
  <c r="A18" i="98"/>
  <c r="A18" i="99" s="1"/>
  <c r="A18" i="100" s="1"/>
  <c r="A18" i="101" s="1"/>
  <c r="A18" i="102" s="1"/>
  <c r="A18" i="103" s="1"/>
  <c r="A18" i="104" s="1"/>
  <c r="A18" i="105" s="1"/>
  <c r="A18" i="106" s="1"/>
  <c r="A18" i="107" s="1"/>
  <c r="A18" i="108" s="1"/>
  <c r="A18" i="109" s="1"/>
  <c r="A18" i="110" s="1"/>
  <c r="A18" i="111" s="1"/>
  <c r="A18" i="112" s="1"/>
  <c r="A18" i="113" s="1"/>
  <c r="A18" i="114" s="1"/>
  <c r="A18" i="115" s="1"/>
  <c r="A18" i="116" s="1"/>
  <c r="A18" i="117" s="1"/>
  <c r="A18" i="118" s="1"/>
  <c r="A18" i="119" s="1"/>
  <c r="A18" i="120" s="1"/>
  <c r="A18" i="121" s="1"/>
  <c r="A18" i="122" s="1"/>
  <c r="A18" i="123" s="1"/>
  <c r="A18" i="124" s="1"/>
  <c r="A18" i="125" s="1"/>
  <c r="A18" i="126" s="1"/>
  <c r="A8" i="97"/>
  <c r="A8" i="98" s="1"/>
  <c r="A8" i="99" s="1"/>
  <c r="A8" i="100" s="1"/>
  <c r="A8" i="101" s="1"/>
  <c r="A8" i="102" s="1"/>
  <c r="A8" i="103" s="1"/>
  <c r="A8" i="104" s="1"/>
  <c r="A8" i="105" s="1"/>
  <c r="A8" i="106" s="1"/>
  <c r="A8" i="107" s="1"/>
  <c r="A8" i="108" s="1"/>
  <c r="A8" i="109" s="1"/>
  <c r="A8" i="110" s="1"/>
  <c r="A8" i="111" s="1"/>
  <c r="A8" i="112" s="1"/>
  <c r="A8" i="113" s="1"/>
  <c r="A8" i="114" s="1"/>
  <c r="A8" i="115" s="1"/>
  <c r="A8" i="116" s="1"/>
  <c r="A8" i="117" s="1"/>
  <c r="A8" i="118" s="1"/>
  <c r="A8" i="119" s="1"/>
  <c r="A8" i="120" s="1"/>
  <c r="A8" i="121" s="1"/>
  <c r="A8" i="122" s="1"/>
  <c r="A8" i="123" s="1"/>
  <c r="A8" i="124" s="1"/>
  <c r="A8" i="125" s="1"/>
  <c r="A8" i="126" s="1"/>
  <c r="A9" i="97"/>
  <c r="A9" i="98" s="1"/>
  <c r="A9" i="99" s="1"/>
  <c r="A9" i="100" s="1"/>
  <c r="A9" i="101" s="1"/>
  <c r="A9" i="102" s="1"/>
  <c r="A9" i="103" s="1"/>
  <c r="A9" i="104" s="1"/>
  <c r="A9" i="105" s="1"/>
  <c r="A9" i="106" s="1"/>
  <c r="A9" i="107" s="1"/>
  <c r="A9" i="108" s="1"/>
  <c r="A9" i="109" s="1"/>
  <c r="A9" i="110" s="1"/>
  <c r="A9" i="111" s="1"/>
  <c r="A9" i="112" s="1"/>
  <c r="A9" i="113" s="1"/>
  <c r="A9" i="114" s="1"/>
  <c r="A9" i="115" s="1"/>
  <c r="A9" i="116" s="1"/>
  <c r="A9" i="117" s="1"/>
  <c r="A9" i="118" s="1"/>
  <c r="A9" i="119" s="1"/>
  <c r="A9" i="120" s="1"/>
  <c r="A9" i="121" s="1"/>
  <c r="A9" i="122" s="1"/>
  <c r="A9" i="123" s="1"/>
  <c r="A9" i="124" s="1"/>
  <c r="A9" i="125" s="1"/>
  <c r="A9" i="126" s="1"/>
  <c r="A10" i="97"/>
  <c r="A10" i="98" s="1"/>
  <c r="A10" i="99" s="1"/>
  <c r="A10" i="100" s="1"/>
  <c r="A10" i="101" s="1"/>
  <c r="A10" i="102" s="1"/>
  <c r="A10" i="103" s="1"/>
  <c r="A10" i="104" s="1"/>
  <c r="A10" i="105" s="1"/>
  <c r="A10" i="106" s="1"/>
  <c r="A10" i="107" s="1"/>
  <c r="A10" i="108" s="1"/>
  <c r="A10" i="109" s="1"/>
  <c r="A10" i="110" s="1"/>
  <c r="A10" i="111" s="1"/>
  <c r="A10" i="112" s="1"/>
  <c r="A10" i="113" s="1"/>
  <c r="A10" i="114" s="1"/>
  <c r="A10" i="115" s="1"/>
  <c r="A10" i="116" s="1"/>
  <c r="A10" i="117" s="1"/>
  <c r="A10" i="118" s="1"/>
  <c r="A10" i="119" s="1"/>
  <c r="A10" i="120" s="1"/>
  <c r="A10" i="121" s="1"/>
  <c r="A10" i="122" s="1"/>
  <c r="A10" i="123" s="1"/>
  <c r="A10" i="124" s="1"/>
  <c r="A10" i="125" s="1"/>
  <c r="A10" i="126" s="1"/>
  <c r="A11" i="97"/>
  <c r="A11" i="98" s="1"/>
  <c r="A11" i="99" s="1"/>
  <c r="A11" i="100" s="1"/>
  <c r="A11" i="101" s="1"/>
  <c r="A11" i="102" s="1"/>
  <c r="A11" i="103" s="1"/>
  <c r="A11" i="104" s="1"/>
  <c r="A11" i="105" s="1"/>
  <c r="A11" i="106" s="1"/>
  <c r="A11" i="107" s="1"/>
  <c r="A11" i="108" s="1"/>
  <c r="A11" i="109" s="1"/>
  <c r="A11" i="110" s="1"/>
  <c r="A11" i="111" s="1"/>
  <c r="A11" i="112" s="1"/>
  <c r="A11" i="113" s="1"/>
  <c r="A11" i="114" s="1"/>
  <c r="A11" i="115" s="1"/>
  <c r="A11" i="116" s="1"/>
  <c r="A11" i="117" s="1"/>
  <c r="A11" i="118" s="1"/>
  <c r="A11" i="119" s="1"/>
  <c r="A11" i="120" s="1"/>
  <c r="A11" i="121" s="1"/>
  <c r="A11" i="122" s="1"/>
  <c r="A11" i="123" s="1"/>
  <c r="A11" i="124" s="1"/>
  <c r="A11" i="125" s="1"/>
  <c r="A11" i="126" s="1"/>
  <c r="A12" i="97"/>
  <c r="A12" i="98" s="1"/>
  <c r="A12" i="99" s="1"/>
  <c r="A12" i="100" s="1"/>
  <c r="A12" i="101" s="1"/>
  <c r="A12" i="102" s="1"/>
  <c r="A12" i="103" s="1"/>
  <c r="A12" i="104" s="1"/>
  <c r="A12" i="105" s="1"/>
  <c r="A12" i="106" s="1"/>
  <c r="A12" i="107" s="1"/>
  <c r="A12" i="108" s="1"/>
  <c r="A12" i="109" s="1"/>
  <c r="A12" i="110" s="1"/>
  <c r="A12" i="111" s="1"/>
  <c r="A12" i="112" s="1"/>
  <c r="A12" i="113" s="1"/>
  <c r="A12" i="114" s="1"/>
  <c r="A12" i="115" s="1"/>
  <c r="A12" i="116" s="1"/>
  <c r="A12" i="117" s="1"/>
  <c r="A12" i="118" s="1"/>
  <c r="A12" i="119" s="1"/>
  <c r="A12" i="120" s="1"/>
  <c r="A12" i="121" s="1"/>
  <c r="A12" i="122" s="1"/>
  <c r="A12" i="123" s="1"/>
  <c r="A12" i="124" s="1"/>
  <c r="A12" i="125" s="1"/>
  <c r="A12" i="126" s="1"/>
  <c r="A13" i="97"/>
  <c r="A13" i="98" s="1"/>
  <c r="A13" i="99" s="1"/>
  <c r="A13" i="100" s="1"/>
  <c r="A13" i="101" s="1"/>
  <c r="A13" i="102" s="1"/>
  <c r="A13" i="103" s="1"/>
  <c r="A13" i="104" s="1"/>
  <c r="A13" i="105" s="1"/>
  <c r="A13" i="106" s="1"/>
  <c r="A13" i="107" s="1"/>
  <c r="A13" i="108" s="1"/>
  <c r="A13" i="109" s="1"/>
  <c r="A13" i="110" s="1"/>
  <c r="A13" i="111" s="1"/>
  <c r="A13" i="112" s="1"/>
  <c r="A13" i="113" s="1"/>
  <c r="A13" i="114" s="1"/>
  <c r="A13" i="115" s="1"/>
  <c r="A13" i="116" s="1"/>
  <c r="A13" i="117" s="1"/>
  <c r="A13" i="118" s="1"/>
  <c r="A13" i="119" s="1"/>
  <c r="A13" i="120" s="1"/>
  <c r="A13" i="121" s="1"/>
  <c r="A13" i="122" s="1"/>
  <c r="A13" i="123" s="1"/>
  <c r="A13" i="124" s="1"/>
  <c r="A13" i="125" s="1"/>
  <c r="A13" i="126" s="1"/>
  <c r="A14" i="97"/>
  <c r="A14" i="98" s="1"/>
  <c r="A14" i="99" s="1"/>
  <c r="A14" i="100" s="1"/>
  <c r="A14" i="101" s="1"/>
  <c r="A14" i="102" s="1"/>
  <c r="A14" i="103" s="1"/>
  <c r="A14" i="104" s="1"/>
  <c r="A14" i="105" s="1"/>
  <c r="A14" i="106" s="1"/>
  <c r="A14" i="107" s="1"/>
  <c r="A14" i="108" s="1"/>
  <c r="A14" i="109" s="1"/>
  <c r="A14" i="110" s="1"/>
  <c r="A14" i="111" s="1"/>
  <c r="A14" i="112" s="1"/>
  <c r="A14" i="113" s="1"/>
  <c r="A14" i="114" s="1"/>
  <c r="A14" i="115" s="1"/>
  <c r="A14" i="116" s="1"/>
  <c r="A14" i="117" s="1"/>
  <c r="A14" i="118" s="1"/>
  <c r="A14" i="119" s="1"/>
  <c r="A14" i="120" s="1"/>
  <c r="A14" i="121" s="1"/>
  <c r="A14" i="122" s="1"/>
  <c r="A14" i="123" s="1"/>
  <c r="A14" i="124" s="1"/>
  <c r="A14" i="125" s="1"/>
  <c r="A14" i="126" s="1"/>
  <c r="A15" i="97"/>
  <c r="A15" i="98" s="1"/>
  <c r="A15" i="99" s="1"/>
  <c r="A15" i="100" s="1"/>
  <c r="A15" i="101" s="1"/>
  <c r="A15" i="102" s="1"/>
  <c r="A15" i="103" s="1"/>
  <c r="A15" i="104" s="1"/>
  <c r="A15" i="105" s="1"/>
  <c r="A15" i="106" s="1"/>
  <c r="A15" i="107" s="1"/>
  <c r="A15" i="108" s="1"/>
  <c r="A15" i="109" s="1"/>
  <c r="A15" i="110" s="1"/>
  <c r="A15" i="111" s="1"/>
  <c r="A15" i="112" s="1"/>
  <c r="A15" i="113" s="1"/>
  <c r="A15" i="114" s="1"/>
  <c r="A15" i="115" s="1"/>
  <c r="A15" i="116" s="1"/>
  <c r="A15" i="117" s="1"/>
  <c r="A15" i="118" s="1"/>
  <c r="A15" i="119" s="1"/>
  <c r="A15" i="120" s="1"/>
  <c r="A15" i="121" s="1"/>
  <c r="A15" i="122" s="1"/>
  <c r="A15" i="123" s="1"/>
  <c r="A15" i="124" s="1"/>
  <c r="A15" i="125" s="1"/>
  <c r="A15" i="126" s="1"/>
  <c r="A16" i="97"/>
  <c r="A16" i="98" s="1"/>
  <c r="A16" i="99" s="1"/>
  <c r="A16" i="100" s="1"/>
  <c r="A16" i="101" s="1"/>
  <c r="A16" i="102" s="1"/>
  <c r="A16" i="103" s="1"/>
  <c r="A16" i="104" s="1"/>
  <c r="A16" i="105" s="1"/>
  <c r="A16" i="106" s="1"/>
  <c r="A16" i="107" s="1"/>
  <c r="A16" i="108" s="1"/>
  <c r="A16" i="109" s="1"/>
  <c r="A16" i="110" s="1"/>
  <c r="A16" i="111" s="1"/>
  <c r="A16" i="112" s="1"/>
  <c r="A16" i="113" s="1"/>
  <c r="A16" i="114" s="1"/>
  <c r="A16" i="115" s="1"/>
  <c r="A16" i="116" s="1"/>
  <c r="A16" i="117" s="1"/>
  <c r="A16" i="118" s="1"/>
  <c r="A16" i="119" s="1"/>
  <c r="A16" i="120" s="1"/>
  <c r="A16" i="121" s="1"/>
  <c r="A16" i="122" s="1"/>
  <c r="A16" i="123" s="1"/>
  <c r="A16" i="124" s="1"/>
  <c r="A16" i="125" s="1"/>
  <c r="A16" i="126" s="1"/>
  <c r="A17" i="97"/>
  <c r="A17" i="98" s="1"/>
  <c r="A17" i="99" s="1"/>
  <c r="A17" i="100" s="1"/>
  <c r="A17" i="101" s="1"/>
  <c r="A17" i="102" s="1"/>
  <c r="A17" i="103" s="1"/>
  <c r="A17" i="104" s="1"/>
  <c r="A17" i="105" s="1"/>
  <c r="A17" i="106" s="1"/>
  <c r="A17" i="107" s="1"/>
  <c r="A17" i="108" s="1"/>
  <c r="A17" i="109" s="1"/>
  <c r="A17" i="110" s="1"/>
  <c r="A17" i="111" s="1"/>
  <c r="A17" i="112" s="1"/>
  <c r="A17" i="113" s="1"/>
  <c r="A17" i="114" s="1"/>
  <c r="A17" i="115" s="1"/>
  <c r="A17" i="116" s="1"/>
  <c r="A17" i="117" s="1"/>
  <c r="A17" i="118" s="1"/>
  <c r="A17" i="119" s="1"/>
  <c r="A17" i="120" s="1"/>
  <c r="A17" i="121" s="1"/>
  <c r="A17" i="122" s="1"/>
  <c r="A17" i="123" s="1"/>
  <c r="A17" i="124" s="1"/>
  <c r="A17" i="125" s="1"/>
  <c r="A17" i="126" s="1"/>
  <c r="A18" i="97"/>
  <c r="A19" i="97"/>
  <c r="A19" i="98" s="1"/>
  <c r="A19" i="99" s="1"/>
  <c r="A19" i="100" s="1"/>
  <c r="A19" i="101" s="1"/>
  <c r="A19" i="102" s="1"/>
  <c r="A19" i="103" s="1"/>
  <c r="A19" i="104" s="1"/>
  <c r="A19" i="105" s="1"/>
  <c r="A19" i="106" s="1"/>
  <c r="A19" i="107" s="1"/>
  <c r="A19" i="108" s="1"/>
  <c r="A19" i="109" s="1"/>
  <c r="A19" i="110" s="1"/>
  <c r="A20" i="97"/>
  <c r="A20" i="98" s="1"/>
  <c r="A20" i="99" s="1"/>
  <c r="A20" i="100" s="1"/>
  <c r="A20" i="101" s="1"/>
  <c r="A20" i="102" s="1"/>
  <c r="A20" i="103" s="1"/>
  <c r="A20" i="104" s="1"/>
  <c r="A20" i="105" s="1"/>
  <c r="A20" i="106" s="1"/>
  <c r="A20" i="107" s="1"/>
  <c r="A20" i="108" s="1"/>
  <c r="A20" i="109" s="1"/>
  <c r="A20" i="110" s="1"/>
  <c r="A21" i="97"/>
  <c r="A21" i="98" s="1"/>
  <c r="A21" i="99" s="1"/>
  <c r="A21" i="100" s="1"/>
  <c r="A21" i="101" s="1"/>
  <c r="A21" i="102" s="1"/>
  <c r="A21" i="103" s="1"/>
  <c r="A21" i="104" s="1"/>
  <c r="A21" i="105" s="1"/>
  <c r="A21" i="106" s="1"/>
  <c r="A21" i="107" s="1"/>
  <c r="A21" i="108" s="1"/>
  <c r="A21" i="109" s="1"/>
  <c r="A21" i="110" s="1"/>
  <c r="A22" i="97"/>
  <c r="A22" i="98" s="1"/>
  <c r="A22" i="99" s="1"/>
  <c r="A22" i="100" s="1"/>
  <c r="A22" i="101" s="1"/>
  <c r="A22" i="102" s="1"/>
  <c r="A22" i="103" s="1"/>
  <c r="A22" i="104" s="1"/>
  <c r="A22" i="105" s="1"/>
  <c r="A22" i="106" s="1"/>
  <c r="A22" i="107" s="1"/>
  <c r="A22" i="108" s="1"/>
  <c r="A22" i="109" s="1"/>
  <c r="A22" i="110" s="1"/>
  <c r="A23" i="97"/>
  <c r="A23" i="98" s="1"/>
  <c r="A23" i="99" s="1"/>
  <c r="A23" i="100" s="1"/>
  <c r="A23" i="101" s="1"/>
  <c r="A23" i="102" s="1"/>
  <c r="A23" i="103" s="1"/>
  <c r="A23" i="104" s="1"/>
  <c r="A23" i="105" s="1"/>
  <c r="A23" i="106" s="1"/>
  <c r="A23" i="107" s="1"/>
  <c r="A23" i="108" s="1"/>
  <c r="A23" i="109" s="1"/>
  <c r="A23" i="110" s="1"/>
  <c r="A24" i="97"/>
  <c r="A24" i="98" s="1"/>
  <c r="A24" i="99" s="1"/>
  <c r="A24" i="100" s="1"/>
  <c r="A24" i="101" s="1"/>
  <c r="A25" i="97"/>
  <c r="A25" i="98" s="1"/>
  <c r="A25" i="99" s="1"/>
  <c r="A25" i="100" s="1"/>
  <c r="A25" i="101" s="1"/>
  <c r="A25" i="102" s="1"/>
  <c r="A25" i="103" s="1"/>
  <c r="A25" i="104" s="1"/>
  <c r="A25" i="105" s="1"/>
  <c r="A25" i="106" s="1"/>
  <c r="A25" i="107" s="1"/>
  <c r="A25" i="108" s="1"/>
  <c r="A25" i="109" s="1"/>
  <c r="A25" i="110" s="1"/>
  <c r="A26" i="97"/>
  <c r="A26" i="98" s="1"/>
  <c r="A26" i="99" s="1"/>
  <c r="A26" i="100" s="1"/>
  <c r="A26" i="101" s="1"/>
  <c r="A26" i="102" s="1"/>
  <c r="A26" i="103" s="1"/>
  <c r="A26" i="104" s="1"/>
  <c r="A26" i="105" s="1"/>
  <c r="A26" i="106" s="1"/>
  <c r="A26" i="107" s="1"/>
  <c r="A26" i="108" s="1"/>
  <c r="A26" i="109" s="1"/>
  <c r="A26" i="110" s="1"/>
  <c r="A27" i="97"/>
  <c r="A27" i="98" s="1"/>
  <c r="A27" i="99" s="1"/>
  <c r="A27" i="100" s="1"/>
  <c r="A27" i="101" s="1"/>
  <c r="A27" i="102" s="1"/>
  <c r="A27" i="103" s="1"/>
  <c r="A27" i="104" s="1"/>
  <c r="A27" i="105" s="1"/>
  <c r="A27" i="106" s="1"/>
  <c r="A27" i="107" s="1"/>
  <c r="A27" i="108" s="1"/>
  <c r="A27" i="109" s="1"/>
  <c r="A28" i="97"/>
  <c r="A28" i="98" s="1"/>
  <c r="A28" i="99" s="1"/>
  <c r="A28" i="100" s="1"/>
  <c r="A28" i="101" s="1"/>
  <c r="A28" i="102" s="1"/>
  <c r="A28" i="103" s="1"/>
  <c r="A28" i="104" s="1"/>
  <c r="A28" i="105" s="1"/>
  <c r="A28" i="106" s="1"/>
  <c r="A28" i="107" s="1"/>
  <c r="A28" i="108" s="1"/>
  <c r="A28" i="109" s="1"/>
  <c r="A28" i="110" s="1"/>
  <c r="A29" i="97"/>
  <c r="A29" i="98" s="1"/>
  <c r="A29" i="99" s="1"/>
  <c r="A29" i="100" s="1"/>
  <c r="A29" i="101" s="1"/>
  <c r="A29" i="102" s="1"/>
  <c r="A29" i="103" s="1"/>
  <c r="A29" i="104" s="1"/>
  <c r="A29" i="105" s="1"/>
  <c r="A29" i="106" s="1"/>
  <c r="A29" i="107" s="1"/>
  <c r="A29" i="108" s="1"/>
  <c r="A29" i="109" s="1"/>
  <c r="A29" i="110" s="1"/>
  <c r="A30" i="97"/>
  <c r="A30" i="98" s="1"/>
  <c r="A30" i="99" s="1"/>
  <c r="A30" i="100" s="1"/>
  <c r="A30" i="101" s="1"/>
  <c r="A30" i="102" s="1"/>
  <c r="A30" i="103" s="1"/>
  <c r="A30" i="104" s="1"/>
  <c r="A30" i="105" s="1"/>
  <c r="A30" i="106" s="1"/>
  <c r="A30" i="107" s="1"/>
  <c r="A30" i="108" s="1"/>
  <c r="A30" i="109" s="1"/>
  <c r="A30" i="110" s="1"/>
  <c r="A31" i="97"/>
  <c r="A31" i="98" s="1"/>
  <c r="A31" i="99" s="1"/>
  <c r="A31" i="100" s="1"/>
  <c r="A31" i="101" s="1"/>
  <c r="A31" i="102" s="1"/>
  <c r="A31" i="103" s="1"/>
  <c r="A31" i="104" s="1"/>
  <c r="A31" i="105" s="1"/>
  <c r="A31" i="106" s="1"/>
  <c r="A31" i="107" s="1"/>
  <c r="A31" i="108" s="1"/>
  <c r="A31" i="109" s="1"/>
  <c r="A31" i="110" s="1"/>
  <c r="A32" i="97"/>
  <c r="A32" i="98" s="1"/>
  <c r="A32" i="99" s="1"/>
  <c r="A32" i="100" s="1"/>
  <c r="A32" i="101" s="1"/>
  <c r="A32" i="102" s="1"/>
  <c r="A32" i="103" s="1"/>
  <c r="A32" i="104" s="1"/>
  <c r="A32" i="105" s="1"/>
  <c r="A32" i="106" s="1"/>
  <c r="A32" i="107" s="1"/>
  <c r="A32" i="108" s="1"/>
  <c r="A32" i="109" s="1"/>
  <c r="A32" i="110" s="1"/>
  <c r="A33" i="97"/>
  <c r="A33" i="98" s="1"/>
  <c r="A33" i="99" s="1"/>
  <c r="A33" i="100" s="1"/>
  <c r="A33" i="101" s="1"/>
  <c r="A33" i="102" s="1"/>
  <c r="A33" i="103" s="1"/>
  <c r="A33" i="104" s="1"/>
  <c r="A33" i="105" s="1"/>
  <c r="A33" i="106" s="1"/>
  <c r="A33" i="107" s="1"/>
  <c r="A33" i="108" s="1"/>
  <c r="A33" i="109" s="1"/>
  <c r="A33" i="110" s="1"/>
  <c r="A33" i="111" s="1"/>
  <c r="A33" i="112" s="1"/>
  <c r="A33" i="113" s="1"/>
  <c r="A33" i="114" s="1"/>
  <c r="A33" i="115" s="1"/>
  <c r="A33" i="116" s="1"/>
  <c r="A33" i="117" s="1"/>
  <c r="A33" i="118" s="1"/>
  <c r="A33" i="119" s="1"/>
  <c r="A33" i="120" s="1"/>
  <c r="A33" i="121" s="1"/>
  <c r="A33" i="122" s="1"/>
  <c r="A33" i="123" s="1"/>
  <c r="A33" i="124" s="1"/>
  <c r="A33" i="125" s="1"/>
  <c r="A33" i="126" s="1"/>
  <c r="A34" i="97"/>
  <c r="A34" i="98" s="1"/>
  <c r="A34" i="99" s="1"/>
  <c r="A34" i="100" s="1"/>
  <c r="A34" i="101" s="1"/>
  <c r="A34" i="102" s="1"/>
  <c r="A34" i="103" s="1"/>
  <c r="A34" i="104" s="1"/>
  <c r="A34" i="105" s="1"/>
  <c r="A34" i="106" s="1"/>
  <c r="A34" i="107" s="1"/>
  <c r="A34" i="108" s="1"/>
  <c r="G28" i="127"/>
  <c r="P29" i="94"/>
  <c r="Q29" i="94"/>
  <c r="Q30" i="94"/>
  <c r="P30" i="94"/>
  <c r="P31" i="94"/>
  <c r="Q31" i="94"/>
  <c r="Q32" i="94"/>
  <c r="G31" i="127"/>
  <c r="H31" i="127" s="1"/>
  <c r="P32" i="94"/>
  <c r="P33" i="94"/>
  <c r="Q33" i="94"/>
  <c r="P28" i="94"/>
  <c r="Q28" i="94"/>
  <c r="F33" i="127"/>
  <c r="O18" i="126"/>
  <c r="P18" i="126"/>
  <c r="Q18" i="126"/>
  <c r="O19" i="126"/>
  <c r="P19" i="126"/>
  <c r="Q19" i="126"/>
  <c r="O20" i="126"/>
  <c r="P20" i="126"/>
  <c r="Q20" i="126"/>
  <c r="O21" i="126"/>
  <c r="P21" i="126"/>
  <c r="Q21" i="126"/>
  <c r="O22" i="126"/>
  <c r="P22" i="126"/>
  <c r="Q22" i="126"/>
  <c r="O23" i="126"/>
  <c r="P23" i="126"/>
  <c r="Q23" i="126"/>
  <c r="O24" i="126"/>
  <c r="P24" i="126"/>
  <c r="Q24" i="126"/>
  <c r="O25" i="126"/>
  <c r="P25" i="126"/>
  <c r="Q25" i="126"/>
  <c r="O26" i="126"/>
  <c r="P26" i="126"/>
  <c r="Q26" i="126"/>
  <c r="O27" i="126"/>
  <c r="P27" i="126"/>
  <c r="Q27" i="126"/>
  <c r="O28" i="126"/>
  <c r="P28" i="126"/>
  <c r="Q28" i="126"/>
  <c r="O29" i="126"/>
  <c r="P29" i="126"/>
  <c r="Q29" i="126"/>
  <c r="O30" i="126"/>
  <c r="P30" i="126"/>
  <c r="Q30" i="126"/>
  <c r="O31" i="126"/>
  <c r="P31" i="126"/>
  <c r="Q31" i="126"/>
  <c r="O16" i="125"/>
  <c r="P16" i="125"/>
  <c r="Q16" i="125"/>
  <c r="O17" i="125"/>
  <c r="P17" i="125"/>
  <c r="Q17" i="125"/>
  <c r="O18" i="125"/>
  <c r="P18" i="125"/>
  <c r="Q18" i="125"/>
  <c r="O19" i="125"/>
  <c r="P19" i="125"/>
  <c r="Q19" i="125"/>
  <c r="O20" i="125"/>
  <c r="P20" i="125"/>
  <c r="Q20" i="125"/>
  <c r="O21" i="125"/>
  <c r="P21" i="125"/>
  <c r="Q21" i="125"/>
  <c r="O22" i="125"/>
  <c r="P22" i="125"/>
  <c r="Q22" i="125"/>
  <c r="O23" i="125"/>
  <c r="P23" i="125"/>
  <c r="Q23" i="125"/>
  <c r="O24" i="125"/>
  <c r="P24" i="125"/>
  <c r="Q24" i="125"/>
  <c r="O25" i="125"/>
  <c r="P25" i="125"/>
  <c r="Q25" i="125"/>
  <c r="O26" i="125"/>
  <c r="P26" i="125"/>
  <c r="Q26" i="125"/>
  <c r="O27" i="125"/>
  <c r="P27" i="125"/>
  <c r="Q27" i="125"/>
  <c r="O28" i="125"/>
  <c r="P28" i="125"/>
  <c r="Q28" i="125"/>
  <c r="O29" i="125"/>
  <c r="P29" i="125"/>
  <c r="Q29" i="125"/>
  <c r="O30" i="125"/>
  <c r="P30" i="125"/>
  <c r="Q30" i="125"/>
  <c r="O19" i="124"/>
  <c r="P19" i="124"/>
  <c r="Q19" i="124"/>
  <c r="O20" i="124"/>
  <c r="P20" i="124"/>
  <c r="Q20" i="124"/>
  <c r="O21" i="124"/>
  <c r="P21" i="124"/>
  <c r="Q21" i="124"/>
  <c r="O22" i="124"/>
  <c r="P22" i="124"/>
  <c r="Q22" i="124"/>
  <c r="O23" i="124"/>
  <c r="P23" i="124"/>
  <c r="Q23" i="124"/>
  <c r="O24" i="124"/>
  <c r="P24" i="124"/>
  <c r="Q24" i="124"/>
  <c r="O25" i="124"/>
  <c r="P25" i="124"/>
  <c r="Q25" i="124"/>
  <c r="O26" i="124"/>
  <c r="P26" i="124"/>
  <c r="Q26" i="124"/>
  <c r="O27" i="124"/>
  <c r="P27" i="124"/>
  <c r="Q27" i="124"/>
  <c r="O17" i="123"/>
  <c r="P17" i="123"/>
  <c r="Q17" i="123"/>
  <c r="O18" i="123"/>
  <c r="P18" i="123"/>
  <c r="Q18" i="123"/>
  <c r="O19" i="123"/>
  <c r="P19" i="123"/>
  <c r="Q19" i="123"/>
  <c r="O20" i="123"/>
  <c r="P20" i="123"/>
  <c r="Q20" i="123"/>
  <c r="O21" i="123"/>
  <c r="P21" i="123"/>
  <c r="Q21" i="123"/>
  <c r="O22" i="123"/>
  <c r="P22" i="123"/>
  <c r="Q22" i="123"/>
  <c r="O23" i="123"/>
  <c r="P23" i="123"/>
  <c r="Q23" i="123"/>
  <c r="O24" i="123"/>
  <c r="P24" i="123"/>
  <c r="Q24" i="123"/>
  <c r="O25" i="123"/>
  <c r="P25" i="123"/>
  <c r="Q25" i="123"/>
  <c r="O26" i="123"/>
  <c r="P26" i="123"/>
  <c r="Q26" i="123"/>
  <c r="O27" i="123"/>
  <c r="P27" i="123"/>
  <c r="Q27" i="123"/>
  <c r="O28" i="123"/>
  <c r="P28" i="123"/>
  <c r="Q28" i="123"/>
  <c r="O29" i="123"/>
  <c r="P29" i="123"/>
  <c r="Q29" i="123"/>
  <c r="O16" i="122"/>
  <c r="P16" i="122"/>
  <c r="Q16" i="122"/>
  <c r="O17" i="122"/>
  <c r="P17" i="122"/>
  <c r="Q17" i="122"/>
  <c r="O18" i="122"/>
  <c r="P18" i="122"/>
  <c r="Q18" i="122"/>
  <c r="O19" i="122"/>
  <c r="P19" i="122"/>
  <c r="Q19" i="122"/>
  <c r="O20" i="122"/>
  <c r="P20" i="122"/>
  <c r="Q20" i="122"/>
  <c r="O21" i="122"/>
  <c r="P21" i="122"/>
  <c r="Q21" i="122"/>
  <c r="O22" i="122"/>
  <c r="P22" i="122"/>
  <c r="Q22" i="122"/>
  <c r="O23" i="122"/>
  <c r="P23" i="122"/>
  <c r="Q23" i="122"/>
  <c r="O24" i="122"/>
  <c r="P24" i="122"/>
  <c r="Q24" i="122"/>
  <c r="O25" i="122"/>
  <c r="P25" i="122"/>
  <c r="Q25" i="122"/>
  <c r="O26" i="122"/>
  <c r="P26" i="122"/>
  <c r="Q26" i="122"/>
  <c r="O27" i="122"/>
  <c r="P27" i="122"/>
  <c r="Q27" i="122"/>
  <c r="O28" i="122"/>
  <c r="P28" i="122"/>
  <c r="Q28" i="122"/>
  <c r="O29" i="122"/>
  <c r="P29" i="122"/>
  <c r="Q29" i="122"/>
  <c r="O19" i="121"/>
  <c r="P19" i="121"/>
  <c r="Q19" i="121"/>
  <c r="O20" i="121"/>
  <c r="P20" i="121"/>
  <c r="Q20" i="121"/>
  <c r="O21" i="121"/>
  <c r="P21" i="121"/>
  <c r="Q21" i="121"/>
  <c r="O22" i="121"/>
  <c r="P22" i="121"/>
  <c r="Q22" i="121"/>
  <c r="O23" i="121"/>
  <c r="P23" i="121"/>
  <c r="Q23" i="121"/>
  <c r="O24" i="121"/>
  <c r="P24" i="121"/>
  <c r="Q24" i="121"/>
  <c r="O25" i="121"/>
  <c r="P25" i="121"/>
  <c r="Q25" i="121"/>
  <c r="O26" i="121"/>
  <c r="P26" i="121"/>
  <c r="Q26" i="121"/>
  <c r="O27" i="121"/>
  <c r="P27" i="121"/>
  <c r="Q27" i="121"/>
  <c r="O28" i="121"/>
  <c r="P28" i="121"/>
  <c r="Q28" i="121"/>
  <c r="O29" i="121"/>
  <c r="P29" i="121"/>
  <c r="Q29" i="121"/>
  <c r="O18" i="120"/>
  <c r="P18" i="120"/>
  <c r="Q18" i="120"/>
  <c r="O19" i="120"/>
  <c r="P19" i="120"/>
  <c r="Q19" i="120"/>
  <c r="O20" i="120"/>
  <c r="P20" i="120"/>
  <c r="Q20" i="120"/>
  <c r="O21" i="120"/>
  <c r="P21" i="120"/>
  <c r="Q21" i="120"/>
  <c r="O22" i="120"/>
  <c r="P22" i="120"/>
  <c r="Q22" i="120"/>
  <c r="O23" i="120"/>
  <c r="P23" i="120"/>
  <c r="Q23" i="120"/>
  <c r="O24" i="120"/>
  <c r="P24" i="120"/>
  <c r="Q24" i="120"/>
  <c r="O25" i="120"/>
  <c r="P25" i="120"/>
  <c r="Q25" i="120"/>
  <c r="O26" i="120"/>
  <c r="P26" i="120"/>
  <c r="Q26" i="120"/>
  <c r="O26" i="119"/>
  <c r="P26" i="119"/>
  <c r="Q26" i="119"/>
  <c r="O25" i="118"/>
  <c r="P25" i="118"/>
  <c r="Q25" i="118"/>
  <c r="O26" i="118"/>
  <c r="P26" i="118"/>
  <c r="Q26" i="118"/>
  <c r="O27" i="118"/>
  <c r="P27" i="118"/>
  <c r="Q27" i="118"/>
  <c r="O28" i="118"/>
  <c r="P28" i="118"/>
  <c r="Q28" i="118"/>
  <c r="O29" i="118"/>
  <c r="P29" i="118"/>
  <c r="Q29" i="118"/>
  <c r="O30" i="118"/>
  <c r="P30" i="118"/>
  <c r="Q30" i="118"/>
  <c r="O24" i="117"/>
  <c r="P24" i="117"/>
  <c r="Q24" i="117"/>
  <c r="O25" i="117"/>
  <c r="P25" i="117"/>
  <c r="Q25" i="117"/>
  <c r="O26" i="117"/>
  <c r="P26" i="117"/>
  <c r="Q26" i="117"/>
  <c r="O27" i="117"/>
  <c r="P27" i="117"/>
  <c r="Q27" i="117"/>
  <c r="O28" i="117"/>
  <c r="P28" i="117"/>
  <c r="Q28" i="117"/>
  <c r="O29" i="117"/>
  <c r="P29" i="117"/>
  <c r="Q29" i="117"/>
  <c r="O30" i="117"/>
  <c r="P30" i="117"/>
  <c r="Q30" i="117"/>
  <c r="O26" i="116"/>
  <c r="P26" i="116"/>
  <c r="Q26" i="116"/>
  <c r="O22" i="115"/>
  <c r="P22" i="115"/>
  <c r="Q22" i="115"/>
  <c r="O23" i="115"/>
  <c r="P23" i="115"/>
  <c r="Q23" i="115"/>
  <c r="O24" i="115"/>
  <c r="P24" i="115"/>
  <c r="Q24" i="115"/>
  <c r="O25" i="115"/>
  <c r="G24" i="127" s="1"/>
  <c r="H24" i="127" s="1"/>
  <c r="P25" i="115"/>
  <c r="Q25" i="115"/>
  <c r="O26" i="115"/>
  <c r="P26" i="115"/>
  <c r="Q26" i="115"/>
  <c r="O27" i="115"/>
  <c r="P27" i="115"/>
  <c r="Q27" i="115"/>
  <c r="O28" i="115"/>
  <c r="P28" i="115"/>
  <c r="Q28" i="115"/>
  <c r="O29" i="115"/>
  <c r="P29" i="115"/>
  <c r="Q29" i="115"/>
  <c r="J35" i="115"/>
  <c r="O27" i="114"/>
  <c r="P27" i="114"/>
  <c r="Q27" i="114"/>
  <c r="O28" i="114"/>
  <c r="P28" i="114"/>
  <c r="Q28" i="114"/>
  <c r="O29" i="114"/>
  <c r="P29" i="114"/>
  <c r="Q29" i="114"/>
  <c r="O30" i="114"/>
  <c r="P30" i="114"/>
  <c r="Q30" i="114"/>
  <c r="O19" i="113"/>
  <c r="P19" i="113"/>
  <c r="Q19" i="113"/>
  <c r="O20" i="113"/>
  <c r="P20" i="113"/>
  <c r="Q20" i="113"/>
  <c r="O21" i="113"/>
  <c r="P21" i="113"/>
  <c r="Q21" i="113"/>
  <c r="O22" i="113"/>
  <c r="P22" i="113"/>
  <c r="Q22" i="113"/>
  <c r="O23" i="113"/>
  <c r="P23" i="113"/>
  <c r="Q23" i="113"/>
  <c r="O24" i="113"/>
  <c r="P24" i="113"/>
  <c r="Q24" i="113"/>
  <c r="O25" i="113"/>
  <c r="P25" i="113"/>
  <c r="Q25" i="113"/>
  <c r="O26" i="113"/>
  <c r="P26" i="113"/>
  <c r="Q26" i="113"/>
  <c r="O27" i="113"/>
  <c r="P27" i="113"/>
  <c r="Q27" i="113"/>
  <c r="O28" i="113"/>
  <c r="P28" i="113"/>
  <c r="Q28" i="113"/>
  <c r="O29" i="113"/>
  <c r="P29" i="113"/>
  <c r="Q29" i="113"/>
  <c r="O17" i="112"/>
  <c r="P17" i="112"/>
  <c r="Q17" i="112"/>
  <c r="O18" i="112"/>
  <c r="P18" i="112"/>
  <c r="Q18" i="112"/>
  <c r="O19" i="112"/>
  <c r="P19" i="112"/>
  <c r="Q19" i="112"/>
  <c r="O20" i="112"/>
  <c r="P20" i="112"/>
  <c r="Q20" i="112"/>
  <c r="O21" i="112"/>
  <c r="P21" i="112"/>
  <c r="Q21" i="112"/>
  <c r="O22" i="112"/>
  <c r="P22" i="112"/>
  <c r="Q22" i="112"/>
  <c r="O23" i="112"/>
  <c r="P23" i="112"/>
  <c r="Q23" i="112"/>
  <c r="O24" i="112"/>
  <c r="P24" i="112"/>
  <c r="Q24" i="112"/>
  <c r="O25" i="112"/>
  <c r="P25" i="112"/>
  <c r="Q25" i="112"/>
  <c r="O26" i="112"/>
  <c r="P26" i="112"/>
  <c r="Q26" i="112"/>
  <c r="O27" i="112"/>
  <c r="P27" i="112"/>
  <c r="Q27" i="112"/>
  <c r="O28" i="112"/>
  <c r="P28" i="112"/>
  <c r="Q28" i="112"/>
  <c r="O29" i="112"/>
  <c r="P29" i="112"/>
  <c r="Q29" i="112"/>
  <c r="O30" i="112"/>
  <c r="P30" i="112"/>
  <c r="Q30" i="112"/>
  <c r="O17" i="111"/>
  <c r="P17" i="111"/>
  <c r="Q17" i="111"/>
  <c r="O18" i="111"/>
  <c r="P18" i="111"/>
  <c r="Q18" i="111"/>
  <c r="O19" i="111"/>
  <c r="P19" i="111"/>
  <c r="Q19" i="111"/>
  <c r="O20" i="111"/>
  <c r="P20" i="111"/>
  <c r="Q20" i="111"/>
  <c r="O21" i="111"/>
  <c r="P21" i="111"/>
  <c r="Q21" i="111"/>
  <c r="O22" i="111"/>
  <c r="P22" i="111"/>
  <c r="Q22" i="111"/>
  <c r="O23" i="111"/>
  <c r="P23" i="111"/>
  <c r="Q23" i="111"/>
  <c r="O24" i="111"/>
  <c r="P24" i="111"/>
  <c r="Q24" i="111"/>
  <c r="O25" i="111"/>
  <c r="P25" i="111"/>
  <c r="Q25" i="111"/>
  <c r="O26" i="111"/>
  <c r="P26" i="111"/>
  <c r="Q26" i="111"/>
  <c r="O27" i="111"/>
  <c r="P27" i="111"/>
  <c r="Q27" i="111"/>
  <c r="O28" i="111"/>
  <c r="P28" i="111"/>
  <c r="Q28" i="111"/>
  <c r="O29" i="111"/>
  <c r="P29" i="111"/>
  <c r="Q29" i="111"/>
  <c r="O30" i="111"/>
  <c r="P30" i="111"/>
  <c r="Q30" i="111"/>
  <c r="O31" i="111"/>
  <c r="P31" i="111"/>
  <c r="Q31" i="111"/>
  <c r="O32" i="111"/>
  <c r="P32" i="111"/>
  <c r="Q32" i="111"/>
  <c r="O20" i="110"/>
  <c r="P20" i="110"/>
  <c r="Q20" i="110"/>
  <c r="O21" i="110"/>
  <c r="P21" i="110"/>
  <c r="Q21" i="110"/>
  <c r="O22" i="110"/>
  <c r="P22" i="110"/>
  <c r="Q22" i="110"/>
  <c r="O23" i="110"/>
  <c r="P23" i="110"/>
  <c r="Q23" i="110"/>
  <c r="O24" i="110"/>
  <c r="P24" i="110"/>
  <c r="Q24" i="110"/>
  <c r="O25" i="110"/>
  <c r="P25" i="110"/>
  <c r="Q25" i="110"/>
  <c r="O26" i="110"/>
  <c r="P26" i="110"/>
  <c r="Q26" i="110"/>
  <c r="O27" i="110"/>
  <c r="P27" i="110"/>
  <c r="Q27" i="110"/>
  <c r="O28" i="110"/>
  <c r="P28" i="110"/>
  <c r="Q28" i="110"/>
  <c r="O18" i="109"/>
  <c r="P18" i="109"/>
  <c r="Q18" i="109"/>
  <c r="O19" i="109"/>
  <c r="P19" i="109"/>
  <c r="Q19" i="109"/>
  <c r="O20" i="109"/>
  <c r="P20" i="109"/>
  <c r="Q20" i="109"/>
  <c r="O21" i="109"/>
  <c r="P21" i="109"/>
  <c r="Q21" i="109"/>
  <c r="O22" i="109"/>
  <c r="P22" i="109"/>
  <c r="Q22" i="109"/>
  <c r="O23" i="109"/>
  <c r="P23" i="109"/>
  <c r="Q23" i="109"/>
  <c r="O24" i="109"/>
  <c r="P24" i="109"/>
  <c r="Q24" i="109"/>
  <c r="O25" i="109"/>
  <c r="P25" i="109"/>
  <c r="Q25" i="109"/>
  <c r="O26" i="109"/>
  <c r="P26" i="109"/>
  <c r="Q26" i="109"/>
  <c r="O27" i="109"/>
  <c r="P27" i="109"/>
  <c r="Q27" i="109"/>
  <c r="O28" i="109"/>
  <c r="P28" i="109"/>
  <c r="Q28" i="109"/>
  <c r="O29" i="109"/>
  <c r="P29" i="109"/>
  <c r="Q29" i="109"/>
  <c r="O30" i="109"/>
  <c r="P30" i="109"/>
  <c r="Q30" i="109"/>
  <c r="O31" i="109"/>
  <c r="P31" i="109"/>
  <c r="Q31" i="109"/>
  <c r="O32" i="109"/>
  <c r="P32" i="109"/>
  <c r="Q32" i="109"/>
  <c r="O33" i="109"/>
  <c r="P33" i="109"/>
  <c r="Q33" i="109"/>
  <c r="O23" i="108"/>
  <c r="P23" i="108"/>
  <c r="Q23" i="108"/>
  <c r="O24" i="108"/>
  <c r="P24" i="108"/>
  <c r="Q24" i="108"/>
  <c r="O25" i="108"/>
  <c r="P25" i="108"/>
  <c r="Q25" i="108"/>
  <c r="O26" i="108"/>
  <c r="P26" i="108"/>
  <c r="Q26" i="108"/>
  <c r="O27" i="108"/>
  <c r="P27" i="108"/>
  <c r="Q27" i="108"/>
  <c r="O28" i="108"/>
  <c r="P28" i="108"/>
  <c r="Q28" i="108"/>
  <c r="O29" i="108"/>
  <c r="P29" i="108"/>
  <c r="Q29" i="108"/>
  <c r="O30" i="108"/>
  <c r="P30" i="108"/>
  <c r="Q30" i="108"/>
  <c r="O31" i="108"/>
  <c r="P31" i="108"/>
  <c r="Q31" i="108"/>
  <c r="O32" i="108"/>
  <c r="P32" i="108"/>
  <c r="Q32" i="108"/>
  <c r="O33" i="108"/>
  <c r="P33" i="108"/>
  <c r="Q33" i="108"/>
  <c r="O34" i="108"/>
  <c r="P34" i="108"/>
  <c r="Q34" i="108"/>
  <c r="O16" i="107"/>
  <c r="P16" i="107"/>
  <c r="Q16" i="107"/>
  <c r="O17" i="107"/>
  <c r="P17" i="107"/>
  <c r="Q17" i="107"/>
  <c r="O18" i="107"/>
  <c r="P18" i="107"/>
  <c r="Q18" i="107"/>
  <c r="O19" i="107"/>
  <c r="P19" i="107"/>
  <c r="Q19" i="107"/>
  <c r="O20" i="107"/>
  <c r="P20" i="107"/>
  <c r="Q20" i="107"/>
  <c r="O21" i="107"/>
  <c r="P21" i="107"/>
  <c r="Q21" i="107"/>
  <c r="O22" i="107"/>
  <c r="P22" i="107"/>
  <c r="Q22" i="107"/>
  <c r="O23" i="107"/>
  <c r="P23" i="107"/>
  <c r="Q23" i="107"/>
  <c r="O24" i="107"/>
  <c r="P24" i="107"/>
  <c r="Q24" i="107"/>
  <c r="O25" i="107"/>
  <c r="P25" i="107"/>
  <c r="Q25" i="107"/>
  <c r="O26" i="107"/>
  <c r="P26" i="107"/>
  <c r="Q26" i="107"/>
  <c r="O27" i="107"/>
  <c r="P27" i="107"/>
  <c r="Q27" i="107"/>
  <c r="O28" i="107"/>
  <c r="P28" i="107"/>
  <c r="Q28" i="107"/>
  <c r="O29" i="107"/>
  <c r="P29" i="107"/>
  <c r="Q29" i="107"/>
  <c r="O30" i="107"/>
  <c r="P30" i="107"/>
  <c r="Q30" i="107"/>
  <c r="O31" i="107"/>
  <c r="P31" i="107"/>
  <c r="Q31" i="107"/>
  <c r="O18" i="106"/>
  <c r="P18" i="106"/>
  <c r="Q18" i="106"/>
  <c r="O19" i="106"/>
  <c r="P19" i="106"/>
  <c r="Q19" i="106"/>
  <c r="O20" i="106"/>
  <c r="P20" i="106"/>
  <c r="Q20" i="106"/>
  <c r="O21" i="106"/>
  <c r="P21" i="106"/>
  <c r="Q21" i="106"/>
  <c r="O22" i="106"/>
  <c r="P22" i="106"/>
  <c r="Q22" i="106"/>
  <c r="O23" i="106"/>
  <c r="P23" i="106"/>
  <c r="Q23" i="106"/>
  <c r="O24" i="106"/>
  <c r="P24" i="106"/>
  <c r="Q24" i="106"/>
  <c r="O25" i="106"/>
  <c r="P25" i="106"/>
  <c r="Q25" i="106"/>
  <c r="O26" i="106"/>
  <c r="P26" i="106"/>
  <c r="Q26" i="106"/>
  <c r="O27" i="106"/>
  <c r="P27" i="106"/>
  <c r="Q27" i="106"/>
  <c r="O28" i="106"/>
  <c r="P28" i="106"/>
  <c r="Q28" i="106"/>
  <c r="O19" i="105"/>
  <c r="P19" i="105"/>
  <c r="Q19" i="105"/>
  <c r="O20" i="105"/>
  <c r="P20" i="105"/>
  <c r="Q20" i="105"/>
  <c r="O21" i="105"/>
  <c r="P21" i="105"/>
  <c r="Q21" i="105"/>
  <c r="O22" i="105"/>
  <c r="P22" i="105"/>
  <c r="Q22" i="105"/>
  <c r="O23" i="105"/>
  <c r="P23" i="105"/>
  <c r="Q23" i="105"/>
  <c r="O24" i="105"/>
  <c r="P24" i="105"/>
  <c r="Q24" i="105"/>
  <c r="O25" i="105"/>
  <c r="P25" i="105"/>
  <c r="Q25" i="105"/>
  <c r="O26" i="105"/>
  <c r="P26" i="105"/>
  <c r="Q26" i="105"/>
  <c r="O24" i="104"/>
  <c r="P24" i="104"/>
  <c r="Q24" i="104"/>
  <c r="O25" i="104"/>
  <c r="P25" i="104"/>
  <c r="Q25" i="104"/>
  <c r="O26" i="104"/>
  <c r="P26" i="104"/>
  <c r="Q26" i="104"/>
  <c r="O27" i="104"/>
  <c r="P27" i="104"/>
  <c r="Q27" i="104"/>
  <c r="O28" i="104"/>
  <c r="P28" i="104"/>
  <c r="Q28" i="104"/>
  <c r="O29" i="104"/>
  <c r="P29" i="104"/>
  <c r="Q29" i="104"/>
  <c r="O30" i="104"/>
  <c r="P30" i="104"/>
  <c r="Q30" i="104"/>
  <c r="O31" i="104"/>
  <c r="P31" i="104"/>
  <c r="Q31" i="104"/>
  <c r="O32" i="104"/>
  <c r="P32" i="104"/>
  <c r="Q32" i="104"/>
  <c r="O33" i="104"/>
  <c r="P33" i="104"/>
  <c r="Q33" i="104"/>
  <c r="O34" i="104"/>
  <c r="P34" i="104"/>
  <c r="Q34" i="104"/>
  <c r="O18" i="102"/>
  <c r="P18" i="102"/>
  <c r="Q18" i="102"/>
  <c r="O19" i="102"/>
  <c r="P19" i="102"/>
  <c r="Q19" i="102"/>
  <c r="O20" i="102"/>
  <c r="P20" i="102"/>
  <c r="Q20" i="102"/>
  <c r="O21" i="102"/>
  <c r="P21" i="102"/>
  <c r="Q21" i="102"/>
  <c r="O22" i="102"/>
  <c r="P22" i="102"/>
  <c r="Q22" i="102"/>
  <c r="O23" i="102"/>
  <c r="P23" i="102"/>
  <c r="Q23" i="102"/>
  <c r="O24" i="102"/>
  <c r="P24" i="102"/>
  <c r="Q24" i="102"/>
  <c r="O25" i="102"/>
  <c r="P25" i="102"/>
  <c r="Q25" i="102"/>
  <c r="O26" i="102"/>
  <c r="P26" i="102"/>
  <c r="Q26" i="102"/>
  <c r="O10" i="100"/>
  <c r="P10" i="100"/>
  <c r="Q10" i="100"/>
  <c r="O11" i="100"/>
  <c r="P11" i="100"/>
  <c r="Q11" i="100"/>
  <c r="O12" i="100"/>
  <c r="P12" i="100"/>
  <c r="Q12" i="100"/>
  <c r="O13" i="100"/>
  <c r="P13" i="100"/>
  <c r="Q13" i="100"/>
  <c r="O14" i="100"/>
  <c r="P14" i="100"/>
  <c r="Q14" i="100"/>
  <c r="O15" i="100"/>
  <c r="P15" i="100"/>
  <c r="Q15" i="100"/>
  <c r="O16" i="100"/>
  <c r="P16" i="100"/>
  <c r="Q16" i="100"/>
  <c r="O17" i="100"/>
  <c r="P17" i="100"/>
  <c r="Q17" i="100"/>
  <c r="O18" i="100"/>
  <c r="P18" i="100"/>
  <c r="Q18" i="100"/>
  <c r="O19" i="100"/>
  <c r="P19" i="100"/>
  <c r="Q19" i="100"/>
  <c r="O20" i="100"/>
  <c r="P20" i="100"/>
  <c r="Q20" i="100"/>
  <c r="O21" i="100"/>
  <c r="P21" i="100"/>
  <c r="Q21" i="100"/>
  <c r="O11" i="99"/>
  <c r="P11" i="99"/>
  <c r="Q11" i="99"/>
  <c r="O12" i="99"/>
  <c r="P12" i="99"/>
  <c r="Q12" i="99"/>
  <c r="O13" i="99"/>
  <c r="P13" i="99"/>
  <c r="Q13" i="99"/>
  <c r="O14" i="99"/>
  <c r="P14" i="99"/>
  <c r="Q14" i="99"/>
  <c r="O15" i="99"/>
  <c r="P15" i="99"/>
  <c r="Q15" i="99"/>
  <c r="O16" i="99"/>
  <c r="P16" i="99"/>
  <c r="Q16" i="99"/>
  <c r="O17" i="99"/>
  <c r="P17" i="99"/>
  <c r="Q17" i="99"/>
  <c r="O18" i="99"/>
  <c r="P18" i="99"/>
  <c r="Q18" i="99"/>
  <c r="O19" i="99"/>
  <c r="P19" i="99"/>
  <c r="Q19" i="99"/>
  <c r="O20" i="99"/>
  <c r="P20" i="99"/>
  <c r="Q20" i="99"/>
  <c r="O21" i="99"/>
  <c r="P21" i="99"/>
  <c r="Q21" i="99"/>
  <c r="O22" i="98"/>
  <c r="P22" i="98"/>
  <c r="Q22" i="98"/>
  <c r="O23" i="98"/>
  <c r="P23" i="98"/>
  <c r="Q23" i="98"/>
  <c r="O24" i="98"/>
  <c r="P24" i="98"/>
  <c r="Q24" i="98"/>
  <c r="O25" i="98"/>
  <c r="P25" i="98"/>
  <c r="Q25" i="98"/>
  <c r="O20" i="97"/>
  <c r="G19" i="127" s="1"/>
  <c r="H19" i="127" s="1"/>
  <c r="P20" i="97"/>
  <c r="Q20" i="97"/>
  <c r="O21" i="97"/>
  <c r="G20" i="127" s="1"/>
  <c r="P21" i="97"/>
  <c r="Q21" i="97"/>
  <c r="O22" i="97"/>
  <c r="P22" i="97"/>
  <c r="Q22" i="97"/>
  <c r="O23" i="97"/>
  <c r="G22" i="127" s="1"/>
  <c r="H22" i="127" s="1"/>
  <c r="P23" i="97"/>
  <c r="Q23" i="97"/>
  <c r="O24" i="97"/>
  <c r="P24" i="97"/>
  <c r="Q24" i="97"/>
  <c r="O25" i="97"/>
  <c r="P25" i="97"/>
  <c r="Q25" i="97"/>
  <c r="O26" i="97"/>
  <c r="P26" i="97"/>
  <c r="Q26" i="97"/>
  <c r="O27" i="97"/>
  <c r="G33" i="127" s="1"/>
  <c r="P27" i="97"/>
  <c r="Q27" i="97"/>
  <c r="J35" i="94"/>
  <c r="C35" i="94"/>
  <c r="P24" i="94"/>
  <c r="P25" i="94"/>
  <c r="P26" i="94"/>
  <c r="P27" i="94"/>
  <c r="P34" i="94"/>
  <c r="Q24" i="94"/>
  <c r="Q25" i="94"/>
  <c r="Q26" i="94"/>
  <c r="Q27" i="94"/>
  <c r="Q34" i="94"/>
  <c r="B6" i="127"/>
  <c r="F6" i="127"/>
  <c r="O15" i="126"/>
  <c r="O16" i="126"/>
  <c r="O17" i="126"/>
  <c r="O32" i="126"/>
  <c r="O33" i="126"/>
  <c r="O34" i="126"/>
  <c r="O7" i="126"/>
  <c r="Q32" i="126"/>
  <c r="Q33" i="126"/>
  <c r="P32" i="126"/>
  <c r="P33" i="126"/>
  <c r="O15" i="125"/>
  <c r="O31" i="125"/>
  <c r="O32" i="125"/>
  <c r="O33" i="125"/>
  <c r="O34" i="125"/>
  <c r="O7" i="125"/>
  <c r="Q31" i="125"/>
  <c r="P31" i="125"/>
  <c r="Q32" i="125"/>
  <c r="P32" i="125"/>
  <c r="O28" i="124"/>
  <c r="O29" i="124"/>
  <c r="O30" i="124"/>
  <c r="O31" i="124"/>
  <c r="O32" i="124"/>
  <c r="O33" i="124"/>
  <c r="O34" i="124"/>
  <c r="O7" i="124"/>
  <c r="Q31" i="124"/>
  <c r="Q32" i="124"/>
  <c r="Q33" i="124"/>
  <c r="P31" i="124"/>
  <c r="P32" i="124"/>
  <c r="P33" i="124"/>
  <c r="O30" i="123"/>
  <c r="O31" i="123"/>
  <c r="O32" i="123"/>
  <c r="O33" i="123"/>
  <c r="O34" i="123"/>
  <c r="O7" i="123"/>
  <c r="Q30" i="123"/>
  <c r="Q31" i="123"/>
  <c r="Q32" i="123"/>
  <c r="Q33" i="123"/>
  <c r="P33" i="123"/>
  <c r="P30" i="123"/>
  <c r="P31" i="123"/>
  <c r="P32" i="123"/>
  <c r="O30" i="122"/>
  <c r="O31" i="122"/>
  <c r="O32" i="122"/>
  <c r="O33" i="122"/>
  <c r="O34" i="122"/>
  <c r="O7" i="122"/>
  <c r="Q30" i="122"/>
  <c r="Q31" i="122"/>
  <c r="Q32" i="122"/>
  <c r="Q33" i="122"/>
  <c r="P30" i="122"/>
  <c r="P31" i="122"/>
  <c r="P32" i="122"/>
  <c r="P33" i="122"/>
  <c r="O30" i="121"/>
  <c r="O31" i="121"/>
  <c r="O32" i="121"/>
  <c r="O33" i="121"/>
  <c r="O34" i="121"/>
  <c r="O7" i="121"/>
  <c r="Q31" i="121"/>
  <c r="Q32" i="121"/>
  <c r="Q33" i="121"/>
  <c r="P31" i="121"/>
  <c r="P32" i="121"/>
  <c r="P33" i="121"/>
  <c r="O15" i="120"/>
  <c r="O16" i="120"/>
  <c r="O17" i="120"/>
  <c r="O27" i="120"/>
  <c r="O28" i="120"/>
  <c r="O29" i="120"/>
  <c r="O30" i="120"/>
  <c r="O31" i="120"/>
  <c r="O32" i="120"/>
  <c r="O33" i="120"/>
  <c r="O34" i="120"/>
  <c r="O7" i="120"/>
  <c r="Q31" i="120"/>
  <c r="Q32" i="120"/>
  <c r="P31" i="120"/>
  <c r="P32" i="120"/>
  <c r="O27" i="119"/>
  <c r="O28" i="119"/>
  <c r="O29" i="119"/>
  <c r="O30" i="119"/>
  <c r="O31" i="119"/>
  <c r="O32" i="119"/>
  <c r="O33" i="119"/>
  <c r="O34" i="119"/>
  <c r="O7" i="119"/>
  <c r="Q28" i="119"/>
  <c r="Q29" i="119"/>
  <c r="Q30" i="119"/>
  <c r="Q31" i="119"/>
  <c r="P32" i="119"/>
  <c r="Q32" i="119"/>
  <c r="Q33" i="119"/>
  <c r="P29" i="119"/>
  <c r="P30" i="119"/>
  <c r="P31" i="119"/>
  <c r="P33" i="119"/>
  <c r="P28" i="119"/>
  <c r="O31" i="118"/>
  <c r="O32" i="118"/>
  <c r="O33" i="118"/>
  <c r="O34" i="118"/>
  <c r="O7" i="118"/>
  <c r="Q31" i="118"/>
  <c r="P32" i="118"/>
  <c r="Q32" i="118"/>
  <c r="Q33" i="118"/>
  <c r="P31" i="118"/>
  <c r="P33" i="118"/>
  <c r="O31" i="117"/>
  <c r="O32" i="117"/>
  <c r="O33" i="117"/>
  <c r="O34" i="117"/>
  <c r="O7" i="117"/>
  <c r="Q31" i="117"/>
  <c r="Q32" i="117"/>
  <c r="Q33" i="117"/>
  <c r="P31" i="117"/>
  <c r="P32" i="117"/>
  <c r="P33" i="117"/>
  <c r="O27" i="116"/>
  <c r="O28" i="116"/>
  <c r="O29" i="116"/>
  <c r="O30" i="116"/>
  <c r="O31" i="116"/>
  <c r="O32" i="116"/>
  <c r="O33" i="116"/>
  <c r="O34" i="116"/>
  <c r="O7" i="116"/>
  <c r="Q31" i="116"/>
  <c r="Q32" i="116"/>
  <c r="Q33" i="116"/>
  <c r="P32" i="116"/>
  <c r="P33" i="116"/>
  <c r="O8" i="115"/>
  <c r="O9" i="115"/>
  <c r="O30" i="115"/>
  <c r="O31" i="115"/>
  <c r="O32" i="115"/>
  <c r="O33" i="115"/>
  <c r="O34" i="115"/>
  <c r="O7" i="115"/>
  <c r="Q30" i="115"/>
  <c r="Q31" i="115"/>
  <c r="Q32" i="115"/>
  <c r="P30" i="115"/>
  <c r="P31" i="115"/>
  <c r="P32" i="115"/>
  <c r="O8" i="114"/>
  <c r="O31" i="114"/>
  <c r="O32" i="114"/>
  <c r="O33" i="114"/>
  <c r="O34" i="114"/>
  <c r="O7" i="114"/>
  <c r="Q31" i="114"/>
  <c r="Q32" i="114"/>
  <c r="P32" i="114"/>
  <c r="P31" i="114"/>
  <c r="O8" i="113"/>
  <c r="O30" i="113"/>
  <c r="O31" i="113"/>
  <c r="O32" i="113"/>
  <c r="O33" i="113"/>
  <c r="O34" i="113"/>
  <c r="O7" i="113"/>
  <c r="Q30" i="113"/>
  <c r="Q31" i="113"/>
  <c r="Q32" i="113"/>
  <c r="Q33" i="113"/>
  <c r="P30" i="113"/>
  <c r="P31" i="113"/>
  <c r="P32" i="113"/>
  <c r="P33" i="113"/>
  <c r="O8" i="112"/>
  <c r="O9" i="112"/>
  <c r="O31" i="112"/>
  <c r="O32" i="112"/>
  <c r="O33" i="112"/>
  <c r="O34" i="112"/>
  <c r="O7" i="112"/>
  <c r="Q31" i="112"/>
  <c r="Q32" i="112"/>
  <c r="P32" i="112"/>
  <c r="Q33" i="112"/>
  <c r="P33" i="112"/>
  <c r="P31" i="112"/>
  <c r="O16" i="111"/>
  <c r="O33" i="111"/>
  <c r="O34" i="111"/>
  <c r="O7" i="111"/>
  <c r="O15" i="110"/>
  <c r="O16" i="110"/>
  <c r="O17" i="110"/>
  <c r="O18" i="110"/>
  <c r="O19" i="110"/>
  <c r="O29" i="110"/>
  <c r="O30" i="110"/>
  <c r="O31" i="110"/>
  <c r="O32" i="110"/>
  <c r="O33" i="110"/>
  <c r="O34" i="110"/>
  <c r="O7" i="110"/>
  <c r="Q31" i="110"/>
  <c r="Q32" i="110"/>
  <c r="P31" i="110"/>
  <c r="P32" i="110"/>
  <c r="O34" i="109"/>
  <c r="O7" i="109"/>
  <c r="O8" i="108"/>
  <c r="O9" i="108"/>
  <c r="O7" i="108"/>
  <c r="O8" i="107"/>
  <c r="O9" i="107"/>
  <c r="O32" i="107"/>
  <c r="O33" i="107"/>
  <c r="O34" i="107"/>
  <c r="O7" i="107"/>
  <c r="P32" i="107"/>
  <c r="Q32" i="107"/>
  <c r="O8" i="106"/>
  <c r="O17" i="106"/>
  <c r="O29" i="106"/>
  <c r="O30" i="106"/>
  <c r="O31" i="106"/>
  <c r="O32" i="106"/>
  <c r="O33" i="106"/>
  <c r="O34" i="106"/>
  <c r="O7" i="106"/>
  <c r="Q30" i="106"/>
  <c r="Q31" i="106"/>
  <c r="Q32" i="106"/>
  <c r="P32" i="106"/>
  <c r="Q33" i="106"/>
  <c r="P30" i="106"/>
  <c r="P31" i="106"/>
  <c r="P33" i="106"/>
  <c r="O8" i="105"/>
  <c r="O27" i="105"/>
  <c r="O28" i="105"/>
  <c r="O29" i="105"/>
  <c r="O30" i="105"/>
  <c r="O31" i="105"/>
  <c r="O32" i="105"/>
  <c r="O33" i="105"/>
  <c r="O34" i="105"/>
  <c r="O7" i="105"/>
  <c r="Q31" i="105"/>
  <c r="Q32" i="105"/>
  <c r="P31" i="105"/>
  <c r="P32" i="105"/>
  <c r="O8" i="104"/>
  <c r="O9" i="104"/>
  <c r="O7" i="104"/>
  <c r="O8" i="103"/>
  <c r="O9" i="103"/>
  <c r="O10" i="103"/>
  <c r="O26" i="103"/>
  <c r="O27" i="103"/>
  <c r="O28" i="103"/>
  <c r="O29" i="103"/>
  <c r="O30" i="103"/>
  <c r="O31" i="103"/>
  <c r="O32" i="103"/>
  <c r="O33" i="103"/>
  <c r="O34" i="103"/>
  <c r="O7" i="103"/>
  <c r="Q30" i="103"/>
  <c r="Q31" i="103"/>
  <c r="Q32" i="103"/>
  <c r="P32" i="103"/>
  <c r="Q33" i="103"/>
  <c r="P30" i="103"/>
  <c r="P31" i="103"/>
  <c r="P33" i="103"/>
  <c r="O8" i="102"/>
  <c r="O9" i="102"/>
  <c r="O10" i="102"/>
  <c r="O17" i="102"/>
  <c r="O27" i="102"/>
  <c r="O28" i="102"/>
  <c r="O29" i="102"/>
  <c r="O30" i="102"/>
  <c r="O31" i="102"/>
  <c r="O32" i="102"/>
  <c r="O33" i="102"/>
  <c r="O34" i="102"/>
  <c r="O7" i="102"/>
  <c r="P28" i="102"/>
  <c r="Q28" i="102"/>
  <c r="P29" i="102"/>
  <c r="Q29" i="102"/>
  <c r="P30" i="102"/>
  <c r="Q30" i="102"/>
  <c r="P31" i="102"/>
  <c r="Q31" i="102"/>
  <c r="P32" i="102"/>
  <c r="Q32" i="102"/>
  <c r="P33" i="102"/>
  <c r="Q33" i="102"/>
  <c r="P34" i="102"/>
  <c r="Q34" i="102"/>
  <c r="O8" i="101"/>
  <c r="O9" i="101"/>
  <c r="O10" i="101"/>
  <c r="O34" i="101"/>
  <c r="O7" i="101"/>
  <c r="O8" i="100"/>
  <c r="O9" i="100"/>
  <c r="O22" i="100"/>
  <c r="O31" i="100"/>
  <c r="O32" i="100"/>
  <c r="O33" i="100"/>
  <c r="O34" i="100"/>
  <c r="O7" i="100"/>
  <c r="Q31" i="100"/>
  <c r="Q32" i="100"/>
  <c r="Q33" i="100"/>
  <c r="P33" i="100"/>
  <c r="P31" i="100"/>
  <c r="P32" i="100"/>
  <c r="O8" i="99"/>
  <c r="O9" i="99"/>
  <c r="O10" i="99"/>
  <c r="O22" i="99"/>
  <c r="O23" i="99"/>
  <c r="O24" i="99"/>
  <c r="O32" i="99"/>
  <c r="O33" i="99"/>
  <c r="O34" i="99"/>
  <c r="O7" i="99"/>
  <c r="P32" i="99"/>
  <c r="Q32" i="99"/>
  <c r="Q33" i="99"/>
  <c r="Q34" i="99"/>
  <c r="P33" i="99"/>
  <c r="P34" i="99"/>
  <c r="O8" i="98"/>
  <c r="O9" i="98"/>
  <c r="O10" i="98"/>
  <c r="O11" i="98"/>
  <c r="O12" i="98"/>
  <c r="O13" i="98"/>
  <c r="O14" i="98"/>
  <c r="O15" i="98"/>
  <c r="O16" i="98"/>
  <c r="O17" i="98"/>
  <c r="O18" i="98"/>
  <c r="O19" i="98"/>
  <c r="O20" i="98"/>
  <c r="O21" i="98"/>
  <c r="O34" i="98"/>
  <c r="O7" i="98"/>
  <c r="P21" i="98"/>
  <c r="Q21" i="98"/>
  <c r="P34" i="98"/>
  <c r="Q34" i="98"/>
  <c r="O8" i="97"/>
  <c r="G7" i="127" s="1"/>
  <c r="H7" i="127" s="1"/>
  <c r="O9" i="97"/>
  <c r="O10" i="97"/>
  <c r="O11" i="97"/>
  <c r="G10" i="127" s="1"/>
  <c r="H10" i="127" s="1"/>
  <c r="O12" i="97"/>
  <c r="O13" i="97"/>
  <c r="O14" i="97"/>
  <c r="G13" i="127" s="1"/>
  <c r="H13" i="127" s="1"/>
  <c r="O15" i="97"/>
  <c r="O16" i="97"/>
  <c r="O17" i="97"/>
  <c r="O18" i="97"/>
  <c r="O19" i="97"/>
  <c r="O7" i="97"/>
  <c r="O6" i="97"/>
  <c r="O6" i="98" s="1"/>
  <c r="O6" i="99" s="1"/>
  <c r="O6" i="100" s="1"/>
  <c r="O6" i="101" s="1"/>
  <c r="O6" i="102" s="1"/>
  <c r="O6" i="103" s="1"/>
  <c r="O6" i="104" s="1"/>
  <c r="O6" i="105" s="1"/>
  <c r="O6" i="106" s="1"/>
  <c r="O6" i="107" s="1"/>
  <c r="O6" i="108" s="1"/>
  <c r="O6" i="109" s="1"/>
  <c r="O6" i="110" s="1"/>
  <c r="O6" i="111" s="1"/>
  <c r="O6" i="112" s="1"/>
  <c r="O6" i="113" s="1"/>
  <c r="O6" i="114" s="1"/>
  <c r="O6" i="115" s="1"/>
  <c r="O6" i="116" s="1"/>
  <c r="O6" i="117" s="1"/>
  <c r="O6" i="118" s="1"/>
  <c r="O6" i="119" s="1"/>
  <c r="O6" i="120" s="1"/>
  <c r="O6" i="121" s="1"/>
  <c r="O6" i="122" s="1"/>
  <c r="O6" i="123" s="1"/>
  <c r="O6" i="124" s="1"/>
  <c r="O6" i="125" s="1"/>
  <c r="O6" i="126" s="1"/>
  <c r="A7" i="97"/>
  <c r="A7" i="98" s="1"/>
  <c r="A7" i="99" s="1"/>
  <c r="A7" i="100" s="1"/>
  <c r="A7" i="101" s="1"/>
  <c r="A7" i="102" s="1"/>
  <c r="A7" i="103" s="1"/>
  <c r="A7" i="104" s="1"/>
  <c r="A7" i="105" s="1"/>
  <c r="A7" i="106" s="1"/>
  <c r="A7" i="107" s="1"/>
  <c r="A7" i="108" s="1"/>
  <c r="A7" i="109" s="1"/>
  <c r="A7" i="110" s="1"/>
  <c r="A7" i="111" s="1"/>
  <c r="A7" i="112" s="1"/>
  <c r="A7" i="113" s="1"/>
  <c r="A7" i="114" s="1"/>
  <c r="A7" i="115" s="1"/>
  <c r="A7" i="116" s="1"/>
  <c r="A7" i="117" s="1"/>
  <c r="A7" i="118" s="1"/>
  <c r="A7" i="119" s="1"/>
  <c r="A7" i="120" s="1"/>
  <c r="A7" i="121" s="1"/>
  <c r="A7" i="122" s="1"/>
  <c r="A7" i="123" s="1"/>
  <c r="A7" i="124" s="1"/>
  <c r="A7" i="125" s="1"/>
  <c r="A7" i="126" s="1"/>
  <c r="Q22" i="94"/>
  <c r="P22" i="94"/>
  <c r="G12" i="127"/>
  <c r="C34" i="96"/>
  <c r="C33" i="96"/>
  <c r="C32" i="96"/>
  <c r="C31" i="96"/>
  <c r="C30" i="96"/>
  <c r="C29" i="96"/>
  <c r="C28" i="96"/>
  <c r="C27" i="96"/>
  <c r="C26" i="96"/>
  <c r="C25" i="96"/>
  <c r="C24" i="96"/>
  <c r="C23" i="96"/>
  <c r="C22" i="96"/>
  <c r="C21" i="96"/>
  <c r="C20" i="96"/>
  <c r="C19" i="96"/>
  <c r="C18" i="96"/>
  <c r="C16" i="96"/>
  <c r="C15" i="96"/>
  <c r="C14" i="96"/>
  <c r="C13" i="96"/>
  <c r="C12" i="96"/>
  <c r="C11" i="96"/>
  <c r="C10" i="96"/>
  <c r="C9" i="96"/>
  <c r="C8" i="96"/>
  <c r="C7" i="96"/>
  <c r="C6" i="96"/>
  <c r="C5" i="96"/>
  <c r="C4" i="96"/>
  <c r="G21" i="127" l="1"/>
  <c r="H21" i="127" s="1"/>
  <c r="G18" i="127"/>
  <c r="H18" i="127" s="1"/>
  <c r="G11" i="127"/>
  <c r="H11" i="127" s="1"/>
  <c r="G25" i="127"/>
  <c r="H25" i="127" s="1"/>
  <c r="G15" i="127"/>
  <c r="H15" i="127" s="1"/>
  <c r="G16" i="127"/>
  <c r="H16" i="127" s="1"/>
  <c r="G23" i="127"/>
  <c r="H23" i="127" s="1"/>
  <c r="G32" i="127"/>
  <c r="H32" i="127" s="1"/>
  <c r="G17" i="127"/>
  <c r="H17" i="127" s="1"/>
  <c r="G9" i="127"/>
  <c r="H9" i="127" s="1"/>
  <c r="G29" i="127"/>
  <c r="H29" i="127" s="1"/>
  <c r="G14" i="127"/>
  <c r="H14" i="127" s="1"/>
  <c r="G8" i="127"/>
  <c r="H8" i="127" s="1"/>
  <c r="H12" i="127"/>
  <c r="G26" i="127"/>
  <c r="H26" i="127" s="1"/>
  <c r="H20" i="127"/>
  <c r="H28" i="127"/>
  <c r="A24" i="102"/>
  <c r="A24" i="103" s="1"/>
  <c r="A24" i="104" s="1"/>
  <c r="A24" i="105" s="1"/>
  <c r="A24" i="106" s="1"/>
  <c r="A24" i="107" s="1"/>
  <c r="A24" i="108" s="1"/>
  <c r="A24" i="109" s="1"/>
  <c r="A24" i="110" s="1"/>
  <c r="A24" i="111" s="1"/>
  <c r="A24" i="112" s="1"/>
  <c r="A24" i="113" s="1"/>
  <c r="A24" i="114" s="1"/>
  <c r="A24" i="115" s="1"/>
  <c r="A24" i="116" s="1"/>
  <c r="A24" i="117" s="1"/>
  <c r="A24" i="118" s="1"/>
  <c r="A24" i="119" s="1"/>
  <c r="A24" i="120" s="1"/>
  <c r="A24" i="121" s="1"/>
  <c r="A24" i="122" s="1"/>
  <c r="A24" i="123" s="1"/>
  <c r="A24" i="124" s="1"/>
  <c r="A24" i="125" s="1"/>
  <c r="A24" i="126" s="1"/>
  <c r="A34" i="109"/>
  <c r="A34" i="110" s="1"/>
  <c r="A34" i="111" s="1"/>
  <c r="A34" i="112" s="1"/>
  <c r="A34" i="113" s="1"/>
  <c r="A34" i="114" s="1"/>
  <c r="A34" i="115" s="1"/>
  <c r="A34" i="116" s="1"/>
  <c r="A34" i="117" s="1"/>
  <c r="A34" i="118" s="1"/>
  <c r="A34" i="119" s="1"/>
  <c r="A34" i="120" s="1"/>
  <c r="A34" i="121" s="1"/>
  <c r="A34" i="122" s="1"/>
  <c r="A34" i="123" s="1"/>
  <c r="A34" i="124" s="1"/>
  <c r="A34" i="125" s="1"/>
  <c r="A34" i="126" s="1"/>
  <c r="H33" i="127"/>
  <c r="A23" i="111"/>
  <c r="A23" i="112" s="1"/>
  <c r="A23" i="113" s="1"/>
  <c r="A23" i="114" s="1"/>
  <c r="A23" i="115" s="1"/>
  <c r="A23" i="116" s="1"/>
  <c r="A23" i="117" s="1"/>
  <c r="A23" i="118" s="1"/>
  <c r="A23" i="119" s="1"/>
  <c r="A23" i="120" s="1"/>
  <c r="A23" i="121" s="1"/>
  <c r="A23" i="122" s="1"/>
  <c r="A23" i="123" s="1"/>
  <c r="A23" i="124" s="1"/>
  <c r="A23" i="125" s="1"/>
  <c r="A23" i="126" s="1"/>
  <c r="A22" i="111"/>
  <c r="A22" i="112" s="1"/>
  <c r="A22" i="113" s="1"/>
  <c r="A22" i="114" s="1"/>
  <c r="A22" i="115" s="1"/>
  <c r="A22" i="116" s="1"/>
  <c r="A22" i="117" s="1"/>
  <c r="A22" i="118" s="1"/>
  <c r="A22" i="119" s="1"/>
  <c r="A22" i="120" s="1"/>
  <c r="A22" i="121" s="1"/>
  <c r="A22" i="122" s="1"/>
  <c r="A22" i="123" s="1"/>
  <c r="A22" i="124" s="1"/>
  <c r="A22" i="125" s="1"/>
  <c r="A22" i="126" s="1"/>
  <c r="A30" i="111"/>
  <c r="A30" i="112" s="1"/>
  <c r="A30" i="113" s="1"/>
  <c r="A30" i="114" s="1"/>
  <c r="A30" i="115" s="1"/>
  <c r="A30" i="116" s="1"/>
  <c r="A30" i="117" s="1"/>
  <c r="A30" i="118" s="1"/>
  <c r="A30" i="119" s="1"/>
  <c r="A30" i="120" s="1"/>
  <c r="A30" i="121" s="1"/>
  <c r="A30" i="122" s="1"/>
  <c r="A30" i="123" s="1"/>
  <c r="A30" i="124" s="1"/>
  <c r="A30" i="125" s="1"/>
  <c r="A30" i="126" s="1"/>
  <c r="A32" i="111"/>
  <c r="A32" i="112" s="1"/>
  <c r="A32" i="113" s="1"/>
  <c r="A32" i="114" s="1"/>
  <c r="A32" i="115" s="1"/>
  <c r="A32" i="116" s="1"/>
  <c r="A32" i="117" s="1"/>
  <c r="A32" i="118" s="1"/>
  <c r="A32" i="119" s="1"/>
  <c r="A32" i="120" s="1"/>
  <c r="A32" i="121" s="1"/>
  <c r="A32" i="122" s="1"/>
  <c r="A32" i="123" s="1"/>
  <c r="A32" i="124" s="1"/>
  <c r="A32" i="125" s="1"/>
  <c r="A32" i="126" s="1"/>
  <c r="A31" i="111"/>
  <c r="A31" i="112" s="1"/>
  <c r="A31" i="113" s="1"/>
  <c r="A31" i="114" s="1"/>
  <c r="A31" i="115" s="1"/>
  <c r="A31" i="116" s="1"/>
  <c r="A31" i="117" s="1"/>
  <c r="A31" i="118" s="1"/>
  <c r="A31" i="119" s="1"/>
  <c r="A31" i="120" s="1"/>
  <c r="A31" i="121" s="1"/>
  <c r="A31" i="122" s="1"/>
  <c r="A31" i="123" s="1"/>
  <c r="A31" i="124" s="1"/>
  <c r="A31" i="125" s="1"/>
  <c r="A31" i="126" s="1"/>
  <c r="A25" i="111"/>
  <c r="A25" i="112" s="1"/>
  <c r="A25" i="113" s="1"/>
  <c r="A25" i="114" s="1"/>
  <c r="A25" i="115" s="1"/>
  <c r="A25" i="116" s="1"/>
  <c r="A25" i="117" s="1"/>
  <c r="A25" i="118" s="1"/>
  <c r="A25" i="119" s="1"/>
  <c r="A25" i="120" s="1"/>
  <c r="A25" i="121" s="1"/>
  <c r="A25" i="122" s="1"/>
  <c r="A25" i="123" s="1"/>
  <c r="A25" i="124" s="1"/>
  <c r="A25" i="125" s="1"/>
  <c r="A25" i="126" s="1"/>
  <c r="A26" i="111"/>
  <c r="A26" i="112" s="1"/>
  <c r="A26" i="113" s="1"/>
  <c r="A26" i="114" s="1"/>
  <c r="A26" i="115" s="1"/>
  <c r="A26" i="116" s="1"/>
  <c r="A26" i="117" s="1"/>
  <c r="A26" i="118" s="1"/>
  <c r="A26" i="119" s="1"/>
  <c r="A26" i="120" s="1"/>
  <c r="A26" i="121" s="1"/>
  <c r="A26" i="122" s="1"/>
  <c r="A26" i="123" s="1"/>
  <c r="A26" i="124" s="1"/>
  <c r="A26" i="125" s="1"/>
  <c r="A26" i="126" s="1"/>
  <c r="A29" i="111"/>
  <c r="A29" i="112" s="1"/>
  <c r="A29" i="113" s="1"/>
  <c r="A29" i="114" s="1"/>
  <c r="A29" i="115" s="1"/>
  <c r="A29" i="116" s="1"/>
  <c r="A29" i="117" s="1"/>
  <c r="A29" i="118" s="1"/>
  <c r="A29" i="119" s="1"/>
  <c r="A29" i="120" s="1"/>
  <c r="A29" i="121" s="1"/>
  <c r="A29" i="122" s="1"/>
  <c r="A29" i="123" s="1"/>
  <c r="A29" i="124" s="1"/>
  <c r="A29" i="125" s="1"/>
  <c r="A29" i="126" s="1"/>
  <c r="A21" i="111"/>
  <c r="A21" i="112" s="1"/>
  <c r="A21" i="113" s="1"/>
  <c r="A21" i="114" s="1"/>
  <c r="A21" i="115" s="1"/>
  <c r="A21" i="116" s="1"/>
  <c r="A21" i="117" s="1"/>
  <c r="A21" i="118" s="1"/>
  <c r="A21" i="119" s="1"/>
  <c r="A21" i="120" s="1"/>
  <c r="A21" i="121" s="1"/>
  <c r="A21" i="122" s="1"/>
  <c r="A21" i="123" s="1"/>
  <c r="A21" i="124" s="1"/>
  <c r="A21" i="125" s="1"/>
  <c r="A21" i="126" s="1"/>
  <c r="A28" i="111"/>
  <c r="A28" i="112" s="1"/>
  <c r="A28" i="113" s="1"/>
  <c r="A28" i="114" s="1"/>
  <c r="A28" i="115" s="1"/>
  <c r="A28" i="116" s="1"/>
  <c r="A28" i="117" s="1"/>
  <c r="A28" i="118" s="1"/>
  <c r="A28" i="119" s="1"/>
  <c r="A28" i="120" s="1"/>
  <c r="A28" i="121" s="1"/>
  <c r="A28" i="122" s="1"/>
  <c r="A28" i="123" s="1"/>
  <c r="A28" i="124" s="1"/>
  <c r="A28" i="125" s="1"/>
  <c r="A28" i="126" s="1"/>
  <c r="A20" i="111"/>
  <c r="A20" i="112" s="1"/>
  <c r="A20" i="113" s="1"/>
  <c r="A20" i="114" s="1"/>
  <c r="A20" i="115" s="1"/>
  <c r="A20" i="116" s="1"/>
  <c r="A20" i="117" s="1"/>
  <c r="A20" i="118" s="1"/>
  <c r="A20" i="119" s="1"/>
  <c r="A20" i="120" s="1"/>
  <c r="A20" i="121" s="1"/>
  <c r="A20" i="122" s="1"/>
  <c r="A20" i="123" s="1"/>
  <c r="A20" i="124" s="1"/>
  <c r="A20" i="125" s="1"/>
  <c r="A20" i="126" s="1"/>
  <c r="A27" i="111"/>
  <c r="A27" i="112" s="1"/>
  <c r="A27" i="113" s="1"/>
  <c r="A27" i="114" s="1"/>
  <c r="A27" i="115" s="1"/>
  <c r="A27" i="116" s="1"/>
  <c r="A27" i="117" s="1"/>
  <c r="A27" i="118" s="1"/>
  <c r="A27" i="119" s="1"/>
  <c r="A27" i="120" s="1"/>
  <c r="A27" i="121" s="1"/>
  <c r="A27" i="122" s="1"/>
  <c r="A27" i="123" s="1"/>
  <c r="A27" i="124" s="1"/>
  <c r="A27" i="125" s="1"/>
  <c r="A27" i="126" s="1"/>
  <c r="A19" i="111"/>
  <c r="A19" i="112" s="1"/>
  <c r="A19" i="113" s="1"/>
  <c r="A19" i="114" s="1"/>
  <c r="A19" i="115" s="1"/>
  <c r="A19" i="116" s="1"/>
  <c r="A19" i="117" s="1"/>
  <c r="A19" i="118" s="1"/>
  <c r="A19" i="119" s="1"/>
  <c r="A19" i="120" s="1"/>
  <c r="A19" i="121" s="1"/>
  <c r="A19" i="122" s="1"/>
  <c r="A19" i="123" s="1"/>
  <c r="A19" i="124" s="1"/>
  <c r="A19" i="125" s="1"/>
  <c r="A19" i="126" s="1"/>
  <c r="G6" i="127"/>
  <c r="C36" i="96"/>
  <c r="P15" i="126"/>
  <c r="P17" i="126"/>
  <c r="P7" i="126"/>
  <c r="J35" i="126"/>
  <c r="C35" i="126"/>
  <c r="P34" i="126"/>
  <c r="Q34" i="126"/>
  <c r="Q17" i="126"/>
  <c r="Q16" i="126"/>
  <c r="P16" i="126"/>
  <c r="Q15" i="126"/>
  <c r="Q7" i="126"/>
  <c r="M6" i="126"/>
  <c r="L6" i="126"/>
  <c r="K6" i="126"/>
  <c r="J6" i="126"/>
  <c r="P15" i="125"/>
  <c r="P7" i="125"/>
  <c r="J35" i="125"/>
  <c r="C35" i="125"/>
  <c r="P34" i="125"/>
  <c r="Q34" i="125"/>
  <c r="P33" i="125"/>
  <c r="Q33" i="125"/>
  <c r="Q15" i="125"/>
  <c r="Q7" i="125"/>
  <c r="M6" i="125"/>
  <c r="L6" i="125"/>
  <c r="K6" i="125"/>
  <c r="J6" i="125"/>
  <c r="P28" i="124"/>
  <c r="P29" i="124"/>
  <c r="P30" i="124"/>
  <c r="P7" i="124"/>
  <c r="J35" i="124"/>
  <c r="C35" i="124"/>
  <c r="P34" i="124"/>
  <c r="Q34" i="124"/>
  <c r="Q30" i="124"/>
  <c r="Q29" i="124"/>
  <c r="Q28" i="124"/>
  <c r="Q7" i="124"/>
  <c r="M6" i="124"/>
  <c r="L6" i="124"/>
  <c r="K6" i="124"/>
  <c r="J6" i="124"/>
  <c r="P7" i="123"/>
  <c r="J35" i="123"/>
  <c r="C35" i="123"/>
  <c r="P34" i="123"/>
  <c r="Q34" i="123"/>
  <c r="Q7" i="123"/>
  <c r="M6" i="123"/>
  <c r="L6" i="123"/>
  <c r="K6" i="123"/>
  <c r="J6" i="123"/>
  <c r="P7" i="122"/>
  <c r="J35" i="122"/>
  <c r="C35" i="122"/>
  <c r="P34" i="122"/>
  <c r="Q34" i="122"/>
  <c r="Q7" i="122"/>
  <c r="M6" i="122"/>
  <c r="L6" i="122"/>
  <c r="K6" i="122"/>
  <c r="J6" i="122"/>
  <c r="P30" i="121"/>
  <c r="P7" i="121"/>
  <c r="J35" i="121"/>
  <c r="C35" i="121"/>
  <c r="P34" i="121"/>
  <c r="Q34" i="121"/>
  <c r="Q30" i="121"/>
  <c r="Q7" i="121"/>
  <c r="M6" i="121"/>
  <c r="L6" i="121"/>
  <c r="K6" i="121"/>
  <c r="J6" i="121"/>
  <c r="P15" i="120"/>
  <c r="P16" i="120"/>
  <c r="P27" i="120"/>
  <c r="P28" i="120"/>
  <c r="P30" i="120"/>
  <c r="P7" i="120"/>
  <c r="J35" i="120"/>
  <c r="C35" i="120"/>
  <c r="P34" i="120"/>
  <c r="Q34" i="120"/>
  <c r="P33" i="120"/>
  <c r="Q33" i="120"/>
  <c r="Q30" i="120"/>
  <c r="Q29" i="120"/>
  <c r="P29" i="120"/>
  <c r="Q28" i="120"/>
  <c r="Q27" i="120"/>
  <c r="P17" i="120"/>
  <c r="Q17" i="120"/>
  <c r="Q16" i="120"/>
  <c r="Q15" i="120"/>
  <c r="Q7" i="120"/>
  <c r="M6" i="120"/>
  <c r="L6" i="120"/>
  <c r="K6" i="120"/>
  <c r="J6" i="120"/>
  <c r="O35" i="120" l="1"/>
  <c r="B28" i="96" s="1"/>
  <c r="H6" i="127"/>
  <c r="O35" i="125"/>
  <c r="B33" i="96" s="1"/>
  <c r="O35" i="126"/>
  <c r="B34" i="96" s="1"/>
  <c r="O35" i="124"/>
  <c r="B32" i="96" s="1"/>
  <c r="O35" i="122"/>
  <c r="B30" i="96" s="1"/>
  <c r="O35" i="121"/>
  <c r="B29" i="96" s="1"/>
  <c r="O35" i="123"/>
  <c r="B31" i="96" s="1"/>
  <c r="P7" i="119"/>
  <c r="J35" i="119"/>
  <c r="C35" i="119"/>
  <c r="P34" i="119"/>
  <c r="Q34" i="119"/>
  <c r="Q27" i="119"/>
  <c r="P27" i="119"/>
  <c r="Q7" i="119"/>
  <c r="M6" i="119"/>
  <c r="L6" i="119"/>
  <c r="K6" i="119"/>
  <c r="J6" i="119"/>
  <c r="P7" i="118"/>
  <c r="J35" i="118"/>
  <c r="C35" i="118"/>
  <c r="P34" i="118"/>
  <c r="Q34" i="118"/>
  <c r="Q7" i="118"/>
  <c r="M6" i="118"/>
  <c r="L6" i="118"/>
  <c r="K6" i="118"/>
  <c r="J6" i="118"/>
  <c r="P7" i="117"/>
  <c r="J35" i="117"/>
  <c r="C35" i="117"/>
  <c r="P34" i="117"/>
  <c r="Q34" i="117"/>
  <c r="Q7" i="117"/>
  <c r="M6" i="117"/>
  <c r="L6" i="117"/>
  <c r="K6" i="117"/>
  <c r="J6" i="117"/>
  <c r="P27" i="116"/>
  <c r="P28" i="116"/>
  <c r="P29" i="116"/>
  <c r="P30" i="116"/>
  <c r="P31" i="116"/>
  <c r="P7" i="116"/>
  <c r="J35" i="116"/>
  <c r="C35" i="116"/>
  <c r="P34" i="116"/>
  <c r="Q34" i="116"/>
  <c r="Q30" i="116"/>
  <c r="Q29" i="116"/>
  <c r="Q28" i="116"/>
  <c r="Q27" i="116"/>
  <c r="Q7" i="116"/>
  <c r="M6" i="116"/>
  <c r="L6" i="116"/>
  <c r="K6" i="116"/>
  <c r="J6" i="116"/>
  <c r="P8" i="115"/>
  <c r="P7" i="115"/>
  <c r="C35" i="115"/>
  <c r="P34" i="115"/>
  <c r="Q34" i="115"/>
  <c r="P33" i="115"/>
  <c r="Q33" i="115"/>
  <c r="P9" i="115"/>
  <c r="Q9" i="115"/>
  <c r="Q8" i="115"/>
  <c r="Q7" i="115"/>
  <c r="M6" i="115"/>
  <c r="L6" i="115"/>
  <c r="K6" i="115"/>
  <c r="J6" i="115"/>
  <c r="P8" i="114"/>
  <c r="P7" i="114"/>
  <c r="J35" i="114"/>
  <c r="C35" i="114"/>
  <c r="P34" i="114"/>
  <c r="Q34" i="114"/>
  <c r="P33" i="114"/>
  <c r="Q33" i="114"/>
  <c r="Q8" i="114"/>
  <c r="Q7" i="114"/>
  <c r="M6" i="114"/>
  <c r="L6" i="114"/>
  <c r="K6" i="114"/>
  <c r="J6" i="114"/>
  <c r="P8" i="113"/>
  <c r="P7" i="113"/>
  <c r="J35" i="113"/>
  <c r="C35" i="113"/>
  <c r="P34" i="113"/>
  <c r="Q34" i="113"/>
  <c r="Q8" i="113"/>
  <c r="Q7" i="113"/>
  <c r="M6" i="113"/>
  <c r="L6" i="113"/>
  <c r="K6" i="113"/>
  <c r="J6" i="113"/>
  <c r="P8" i="112"/>
  <c r="P9" i="112"/>
  <c r="P7" i="112"/>
  <c r="J35" i="112"/>
  <c r="C35" i="112"/>
  <c r="P34" i="112"/>
  <c r="Q34" i="112"/>
  <c r="Q9" i="112"/>
  <c r="Q8" i="112"/>
  <c r="Q7" i="112"/>
  <c r="M6" i="112"/>
  <c r="L6" i="112"/>
  <c r="K6" i="112"/>
  <c r="J6" i="112"/>
  <c r="P7" i="111"/>
  <c r="J35" i="111"/>
  <c r="C35" i="111"/>
  <c r="P34" i="111"/>
  <c r="Q34" i="111"/>
  <c r="P33" i="111"/>
  <c r="Q33" i="111"/>
  <c r="Q16" i="111"/>
  <c r="P16" i="111"/>
  <c r="Q7" i="111"/>
  <c r="M6" i="111"/>
  <c r="L6" i="111"/>
  <c r="K6" i="111"/>
  <c r="J6" i="111"/>
  <c r="P15" i="110"/>
  <c r="P16" i="110"/>
  <c r="P17" i="110"/>
  <c r="P18" i="110"/>
  <c r="P19" i="110"/>
  <c r="P30" i="110"/>
  <c r="P7" i="110"/>
  <c r="J35" i="110"/>
  <c r="C35" i="110"/>
  <c r="P34" i="110"/>
  <c r="Q34" i="110"/>
  <c r="P33" i="110"/>
  <c r="Q33" i="110"/>
  <c r="Q30" i="110"/>
  <c r="Q29" i="110"/>
  <c r="P29" i="110"/>
  <c r="Q19" i="110"/>
  <c r="Q18" i="110"/>
  <c r="Q17" i="110"/>
  <c r="Q16" i="110"/>
  <c r="Q15" i="110"/>
  <c r="Q7" i="110"/>
  <c r="M6" i="110"/>
  <c r="L6" i="110"/>
  <c r="K6" i="110"/>
  <c r="J6" i="110"/>
  <c r="P7" i="109"/>
  <c r="J35" i="109"/>
  <c r="C35" i="109"/>
  <c r="P34" i="109"/>
  <c r="Q34" i="109"/>
  <c r="Q7" i="109"/>
  <c r="M6" i="109"/>
  <c r="L6" i="109"/>
  <c r="K6" i="109"/>
  <c r="J6" i="109"/>
  <c r="P8" i="108"/>
  <c r="P9" i="108"/>
  <c r="P7" i="108"/>
  <c r="J35" i="108"/>
  <c r="C35" i="108"/>
  <c r="Q9" i="108"/>
  <c r="Q8" i="108"/>
  <c r="Q7" i="108"/>
  <c r="M6" i="108"/>
  <c r="L6" i="108"/>
  <c r="K6" i="108"/>
  <c r="J6" i="108"/>
  <c r="P8" i="107"/>
  <c r="P9" i="107"/>
  <c r="P7" i="107"/>
  <c r="J35" i="107"/>
  <c r="C35" i="107"/>
  <c r="O35" i="107" s="1"/>
  <c r="B15" i="96" s="1"/>
  <c r="P34" i="107"/>
  <c r="Q34" i="107"/>
  <c r="P33" i="107"/>
  <c r="Q33" i="107"/>
  <c r="Q9" i="107"/>
  <c r="Q8" i="107"/>
  <c r="Q7" i="107"/>
  <c r="M6" i="107"/>
  <c r="L6" i="107"/>
  <c r="K6" i="107"/>
  <c r="J6" i="107"/>
  <c r="P17" i="106"/>
  <c r="P29" i="106"/>
  <c r="P7" i="106"/>
  <c r="J35" i="106"/>
  <c r="C35" i="106"/>
  <c r="P34" i="106"/>
  <c r="Q34" i="106"/>
  <c r="Q29" i="106"/>
  <c r="Q17" i="106"/>
  <c r="Q8" i="106"/>
  <c r="P8" i="106"/>
  <c r="Q7" i="106"/>
  <c r="M6" i="106"/>
  <c r="L6" i="106"/>
  <c r="K6" i="106"/>
  <c r="J6" i="106"/>
  <c r="P29" i="105"/>
  <c r="P30" i="105"/>
  <c r="P7" i="105"/>
  <c r="J35" i="105"/>
  <c r="C35" i="105"/>
  <c r="P34" i="105"/>
  <c r="Q34" i="105"/>
  <c r="P33" i="105"/>
  <c r="Q33" i="105"/>
  <c r="Q30" i="105"/>
  <c r="Q29" i="105"/>
  <c r="P28" i="105"/>
  <c r="Q28" i="105"/>
  <c r="Q27" i="105"/>
  <c r="P27" i="105"/>
  <c r="Q8" i="105"/>
  <c r="P8" i="105"/>
  <c r="Q7" i="105"/>
  <c r="M6" i="105"/>
  <c r="L6" i="105"/>
  <c r="K6" i="105"/>
  <c r="J6" i="105"/>
  <c r="P9" i="104"/>
  <c r="P7" i="104"/>
  <c r="J35" i="104"/>
  <c r="C35" i="104"/>
  <c r="Q9" i="104"/>
  <c r="Q8" i="104"/>
  <c r="P8" i="104"/>
  <c r="Q7" i="104"/>
  <c r="M6" i="104"/>
  <c r="L6" i="104"/>
  <c r="K6" i="104"/>
  <c r="J6" i="104"/>
  <c r="P8" i="103"/>
  <c r="P9" i="103"/>
  <c r="P10" i="103"/>
  <c r="P26" i="103"/>
  <c r="P27" i="103"/>
  <c r="P7" i="103"/>
  <c r="J35" i="103"/>
  <c r="C35" i="103"/>
  <c r="P34" i="103"/>
  <c r="Q34" i="103"/>
  <c r="Q29" i="103"/>
  <c r="P29" i="103"/>
  <c r="P28" i="103"/>
  <c r="Q28" i="103"/>
  <c r="Q27" i="103"/>
  <c r="Q26" i="103"/>
  <c r="Q10" i="103"/>
  <c r="Q9" i="103"/>
  <c r="Q8" i="103"/>
  <c r="Q7" i="103"/>
  <c r="M6" i="103"/>
  <c r="L6" i="103"/>
  <c r="K6" i="103"/>
  <c r="J6" i="103"/>
  <c r="P8" i="102"/>
  <c r="P10" i="102"/>
  <c r="P17" i="102"/>
  <c r="P27" i="102"/>
  <c r="P7" i="102"/>
  <c r="J35" i="102"/>
  <c r="C35" i="102"/>
  <c r="Q27" i="102"/>
  <c r="Q17" i="102"/>
  <c r="Q10" i="102"/>
  <c r="P9" i="102"/>
  <c r="Q9" i="102"/>
  <c r="Q8" i="102"/>
  <c r="Q7" i="102"/>
  <c r="M6" i="102"/>
  <c r="L6" i="102"/>
  <c r="K6" i="102"/>
  <c r="J6" i="102"/>
  <c r="P8" i="101"/>
  <c r="P9" i="101"/>
  <c r="P10" i="101"/>
  <c r="P7" i="101"/>
  <c r="J35" i="101"/>
  <c r="C35" i="101"/>
  <c r="P34" i="101"/>
  <c r="Q34" i="101"/>
  <c r="Q10" i="101"/>
  <c r="Q9" i="101"/>
  <c r="Q8" i="101"/>
  <c r="Q7" i="101"/>
  <c r="M6" i="101"/>
  <c r="L6" i="101"/>
  <c r="K6" i="101"/>
  <c r="J6" i="101"/>
  <c r="P8" i="100"/>
  <c r="P9" i="100"/>
  <c r="P22" i="100"/>
  <c r="P7" i="100"/>
  <c r="J35" i="100"/>
  <c r="C35" i="100"/>
  <c r="P34" i="100"/>
  <c r="Q34" i="100"/>
  <c r="Q22" i="100"/>
  <c r="Q9" i="100"/>
  <c r="Q8" i="100"/>
  <c r="Q7" i="100"/>
  <c r="M6" i="100"/>
  <c r="L6" i="100"/>
  <c r="K6" i="100"/>
  <c r="J6" i="100"/>
  <c r="P8" i="99"/>
  <c r="P9" i="99"/>
  <c r="P10" i="99"/>
  <c r="P22" i="99"/>
  <c r="P23" i="99"/>
  <c r="P24" i="99"/>
  <c r="P7" i="99"/>
  <c r="J35" i="99"/>
  <c r="C35" i="99"/>
  <c r="Q24" i="99"/>
  <c r="Q23" i="99"/>
  <c r="Q22" i="99"/>
  <c r="Q10" i="99"/>
  <c r="Q9" i="99"/>
  <c r="Q8" i="99"/>
  <c r="Q7" i="99"/>
  <c r="M6" i="99"/>
  <c r="L6" i="99"/>
  <c r="K6" i="99"/>
  <c r="J6" i="99"/>
  <c r="P8" i="98"/>
  <c r="P9" i="98"/>
  <c r="P10" i="98"/>
  <c r="P11" i="98"/>
  <c r="P12" i="98"/>
  <c r="P13" i="98"/>
  <c r="P14" i="98"/>
  <c r="P15" i="98"/>
  <c r="P16" i="98"/>
  <c r="P17" i="98"/>
  <c r="P18" i="98"/>
  <c r="P19" i="98"/>
  <c r="P20" i="98"/>
  <c r="P7" i="98"/>
  <c r="J35" i="98"/>
  <c r="C35" i="98"/>
  <c r="Q20" i="98"/>
  <c r="Q19" i="98"/>
  <c r="Q18" i="98"/>
  <c r="Q17" i="98"/>
  <c r="Q16" i="98"/>
  <c r="Q15" i="98"/>
  <c r="Q14" i="98"/>
  <c r="Q13" i="98"/>
  <c r="Q12" i="98"/>
  <c r="Q11" i="98"/>
  <c r="Q10" i="98"/>
  <c r="Q9" i="98"/>
  <c r="Q8" i="98"/>
  <c r="Q7" i="98"/>
  <c r="M6" i="98"/>
  <c r="L6" i="98"/>
  <c r="K6" i="98"/>
  <c r="J6" i="98"/>
  <c r="P8" i="97"/>
  <c r="P9" i="97"/>
  <c r="P10" i="97"/>
  <c r="P11" i="97"/>
  <c r="P12" i="97"/>
  <c r="P13" i="97"/>
  <c r="P14" i="97"/>
  <c r="P15" i="97"/>
  <c r="P16" i="97"/>
  <c r="P17" i="97"/>
  <c r="P18" i="97"/>
  <c r="P19" i="97"/>
  <c r="P7" i="97"/>
  <c r="J35" i="97"/>
  <c r="C35" i="97"/>
  <c r="Q19" i="97"/>
  <c r="Q18" i="97"/>
  <c r="Q17" i="97"/>
  <c r="Q16" i="97"/>
  <c r="Q15" i="97"/>
  <c r="Q14" i="97"/>
  <c r="Q13" i="97"/>
  <c r="Q12" i="97"/>
  <c r="Q11" i="97"/>
  <c r="Q10" i="97"/>
  <c r="Q9" i="97"/>
  <c r="Q8" i="97"/>
  <c r="Q7" i="97"/>
  <c r="M6" i="97"/>
  <c r="L6" i="97"/>
  <c r="K6" i="97"/>
  <c r="J6" i="97"/>
  <c r="M6" i="94"/>
  <c r="K6" i="94"/>
  <c r="L6" i="94"/>
  <c r="J6" i="94"/>
  <c r="O35" i="116" l="1"/>
  <c r="B24" i="96" s="1"/>
  <c r="O35" i="114"/>
  <c r="B22" i="96" s="1"/>
  <c r="O35" i="112"/>
  <c r="B20" i="96" s="1"/>
  <c r="O35" i="106"/>
  <c r="B14" i="96" s="1"/>
  <c r="O35" i="101"/>
  <c r="B9" i="96" s="1"/>
  <c r="O35" i="100"/>
  <c r="B8" i="96" s="1"/>
  <c r="O35" i="99"/>
  <c r="O35" i="97"/>
  <c r="B5" i="96" s="1"/>
  <c r="O35" i="111"/>
  <c r="B19" i="96" s="1"/>
  <c r="O35" i="98"/>
  <c r="B6" i="96" s="1"/>
  <c r="O35" i="119"/>
  <c r="B27" i="96" s="1"/>
  <c r="O35" i="118"/>
  <c r="B26" i="96" s="1"/>
  <c r="O35" i="117"/>
  <c r="B25" i="96" s="1"/>
  <c r="O35" i="115"/>
  <c r="B23" i="96" s="1"/>
  <c r="O35" i="113"/>
  <c r="B21" i="96" s="1"/>
  <c r="O35" i="110"/>
  <c r="B18" i="96" s="1"/>
  <c r="O35" i="109"/>
  <c r="B17" i="96" s="1"/>
  <c r="O35" i="108"/>
  <c r="B16" i="96" s="1"/>
  <c r="O35" i="105"/>
  <c r="B13" i="96" s="1"/>
  <c r="O35" i="104"/>
  <c r="B12" i="96" s="1"/>
  <c r="O35" i="103"/>
  <c r="B11" i="96" s="1"/>
  <c r="O35" i="102"/>
  <c r="B10" i="96" s="1"/>
  <c r="B7" i="96" l="1"/>
  <c r="G34" i="127" l="1"/>
  <c r="P8" i="94"/>
  <c r="P9" i="94"/>
  <c r="P10" i="94"/>
  <c r="P11" i="94"/>
  <c r="P12" i="94"/>
  <c r="P13" i="94"/>
  <c r="P14" i="94"/>
  <c r="P15" i="94"/>
  <c r="P16" i="94"/>
  <c r="P17" i="94"/>
  <c r="P18" i="94"/>
  <c r="P19" i="94"/>
  <c r="P20" i="94"/>
  <c r="P21" i="94"/>
  <c r="P23" i="94"/>
  <c r="P7" i="94"/>
  <c r="Q8" i="94" l="1"/>
  <c r="Q9" i="94"/>
  <c r="Q10" i="94"/>
  <c r="Q11" i="94"/>
  <c r="Q12" i="94"/>
  <c r="Q13" i="94"/>
  <c r="Q14" i="94"/>
  <c r="Q15" i="94"/>
  <c r="Q16" i="94"/>
  <c r="Q17" i="94"/>
  <c r="Q18" i="94"/>
  <c r="Q19" i="94"/>
  <c r="Q20" i="94"/>
  <c r="Q21" i="94"/>
  <c r="Q23" i="94"/>
  <c r="Q7" i="94"/>
  <c r="O35" i="94" l="1"/>
  <c r="Q2" i="94" s="1"/>
  <c r="P2" i="97" l="1"/>
  <c r="Q2" i="97" s="1"/>
  <c r="B4" i="96"/>
  <c r="B36" i="96" s="1"/>
  <c r="D4" i="96" l="1"/>
  <c r="P2" i="98"/>
  <c r="Q2" i="98" s="1"/>
  <c r="D5" i="96"/>
  <c r="P2" i="99" l="1"/>
  <c r="Q2" i="99" s="1"/>
  <c r="D6" i="96"/>
  <c r="P2" i="100" l="1"/>
  <c r="Q2" i="100" s="1"/>
  <c r="D7" i="96"/>
  <c r="P2" i="101" l="1"/>
  <c r="Q2" i="101" s="1"/>
  <c r="D8" i="96"/>
  <c r="P2" i="102" l="1"/>
  <c r="Q2" i="102" s="1"/>
  <c r="D9" i="96"/>
  <c r="P2" i="103" l="1"/>
  <c r="Q2" i="103" s="1"/>
  <c r="D10" i="96"/>
  <c r="P2" i="104" l="1"/>
  <c r="Q2" i="104" s="1"/>
  <c r="D11" i="96"/>
  <c r="P2" i="105" l="1"/>
  <c r="Q2" i="105" s="1"/>
  <c r="D12" i="96"/>
  <c r="P2" i="106" l="1"/>
  <c r="Q2" i="106" s="1"/>
  <c r="D13" i="96"/>
  <c r="P2" i="107" l="1"/>
  <c r="Q2" i="107" s="1"/>
  <c r="D14" i="96"/>
  <c r="P2" i="108" l="1"/>
  <c r="Q2" i="108" s="1"/>
  <c r="D15" i="96"/>
  <c r="P2" i="109" l="1"/>
  <c r="Q2" i="109" s="1"/>
  <c r="D16" i="96"/>
  <c r="P2" i="110" l="1"/>
  <c r="Q2" i="110" s="1"/>
  <c r="D17" i="96"/>
  <c r="P2" i="111" l="1"/>
  <c r="Q2" i="111" s="1"/>
  <c r="D18" i="96"/>
  <c r="P2" i="112" l="1"/>
  <c r="Q2" i="112" s="1"/>
  <c r="D19" i="96"/>
  <c r="P2" i="113" l="1"/>
  <c r="Q2" i="113" s="1"/>
  <c r="D20" i="96"/>
  <c r="P2" i="114" l="1"/>
  <c r="Q2" i="114" s="1"/>
  <c r="D21" i="96"/>
  <c r="P2" i="115" l="1"/>
  <c r="Q2" i="115" s="1"/>
  <c r="D22" i="96"/>
  <c r="P2" i="116" l="1"/>
  <c r="Q2" i="116" s="1"/>
  <c r="D23" i="96"/>
  <c r="P2" i="117" l="1"/>
  <c r="Q2" i="117" s="1"/>
  <c r="D24" i="96"/>
  <c r="P2" i="118" l="1"/>
  <c r="Q2" i="118" s="1"/>
  <c r="D25" i="96"/>
  <c r="P2" i="119" l="1"/>
  <c r="Q2" i="119" s="1"/>
  <c r="D26" i="96"/>
  <c r="P2" i="120" l="1"/>
  <c r="Q2" i="120" s="1"/>
  <c r="D27" i="96"/>
  <c r="P2" i="121" l="1"/>
  <c r="Q2" i="121" s="1"/>
  <c r="D28" i="96"/>
  <c r="P2" i="122" l="1"/>
  <c r="Q2" i="122" s="1"/>
  <c r="D29" i="96"/>
  <c r="P2" i="123" l="1"/>
  <c r="Q2" i="123" s="1"/>
  <c r="D30" i="96"/>
  <c r="P2" i="124" l="1"/>
  <c r="Q2" i="124" s="1"/>
  <c r="D31" i="96"/>
  <c r="P2" i="125" l="1"/>
  <c r="Q2" i="125" s="1"/>
  <c r="D32" i="96"/>
  <c r="P2" i="126" l="1"/>
  <c r="Q2" i="126" s="1"/>
  <c r="D33" i="96"/>
  <c r="D34" i="96" l="1"/>
  <c r="D36" i="96" s="1"/>
  <c r="G36" i="96" l="1"/>
</calcChain>
</file>

<file path=xl/sharedStrings.xml><?xml version="1.0" encoding="utf-8"?>
<sst xmlns="http://schemas.openxmlformats.org/spreadsheetml/2006/main" count="1920" uniqueCount="137">
  <si>
    <t>TOTALES</t>
  </si>
  <si>
    <t>PRIMER TURNO</t>
  </si>
  <si>
    <t>SEGUNDO TURNO</t>
  </si>
  <si>
    <t>DIA</t>
  </si>
  <si>
    <t>MES</t>
  </si>
  <si>
    <t>AÑO</t>
  </si>
  <si>
    <t>ACEITE</t>
  </si>
  <si>
    <t>TAMBO</t>
  </si>
  <si>
    <t>LTS</t>
  </si>
  <si>
    <t>HIDRAULICO</t>
  </si>
  <si>
    <t>MOTOR</t>
  </si>
  <si>
    <t>DIFERENCIAL</t>
  </si>
  <si>
    <t>MAQ.PERF.</t>
  </si>
  <si>
    <t>DIFERENCIAL CAT</t>
  </si>
  <si>
    <t>HIDRAULICO CAT</t>
  </si>
  <si>
    <t xml:space="preserve">TRANSMICION </t>
  </si>
  <si>
    <t>ANTICONGELANTE</t>
  </si>
  <si>
    <t>GRASA</t>
  </si>
  <si>
    <t>8 CUBETAS</t>
  </si>
  <si>
    <t>8CUBETAS</t>
  </si>
  <si>
    <t>9CUBETAS</t>
  </si>
  <si>
    <t>FECHA</t>
  </si>
  <si>
    <t xml:space="preserve">Horometro Final 1ra </t>
  </si>
  <si>
    <t>Horometro Inicial 2da</t>
  </si>
  <si>
    <t>NOMBRE Y FIRMA DE QUIEN AUTORIZA</t>
  </si>
  <si>
    <t>EXISTENCIA INICIAL DE DIESEL (LTS)</t>
  </si>
  <si>
    <t>EXISTENCIA FINAL DE DIESEL (LTS)</t>
  </si>
  <si>
    <t>ENTRADA DE DIESEL</t>
  </si>
  <si>
    <t>Horometro Inicial 1ra</t>
  </si>
  <si>
    <t>NOMBRE Y FIRMA DE ALMACEN</t>
  </si>
  <si>
    <t>ADMINISTRADOR</t>
  </si>
  <si>
    <t>HRS 1ra</t>
  </si>
  <si>
    <t>HRS 2da</t>
  </si>
  <si>
    <t>Horometro final 2da</t>
  </si>
  <si>
    <t>ST-031 (EPIROC 1030)</t>
  </si>
  <si>
    <t>JL-015 (DD311)</t>
  </si>
  <si>
    <t>MG-033 (PERSONAL)</t>
  </si>
  <si>
    <t>MGA CONTRATISTA MINERA S.A. DE C.V.</t>
  </si>
  <si>
    <t>DIESEL</t>
  </si>
  <si>
    <t>TOTAL:</t>
  </si>
  <si>
    <t>Nombre Operador</t>
  </si>
  <si>
    <t>Nombre Despachador</t>
  </si>
  <si>
    <t xml:space="preserve">Nombre del supervisor </t>
  </si>
  <si>
    <t>MG-086</t>
  </si>
  <si>
    <t>MG-113</t>
  </si>
  <si>
    <t xml:space="preserve">NO. DE EQUIPO </t>
  </si>
  <si>
    <t>DIESEL CONSUMIDO</t>
  </si>
  <si>
    <t>LLEGADA</t>
  </si>
  <si>
    <t xml:space="preserve">                      MGA CONTRATISTA MINERA S.A. DE C.V.</t>
  </si>
  <si>
    <t xml:space="preserve"> DIESEL FINAL</t>
  </si>
  <si>
    <t>CONSUMO X DIA</t>
  </si>
  <si>
    <t>EQUIPO</t>
  </si>
  <si>
    <t>CONDICION ACTUAL</t>
  </si>
  <si>
    <t>HOROMETRO INICIAL</t>
  </si>
  <si>
    <t>HOROMETRO FINAL</t>
  </si>
  <si>
    <t>HORAS TRABAJADAS</t>
  </si>
  <si>
    <t>CONSUMO DE DIESEL</t>
  </si>
  <si>
    <t>RENDIMEINTO (LITRO/HORA)</t>
  </si>
  <si>
    <t>DISPONIBLE</t>
  </si>
  <si>
    <t>ST-036 R1300</t>
  </si>
  <si>
    <t>JA-007 RESEMIN</t>
  </si>
  <si>
    <t>RE-009 (RETROEXCAVADORA)</t>
  </si>
  <si>
    <t>MG-085 (POLVORERA)</t>
  </si>
  <si>
    <t>MG-121</t>
  </si>
  <si>
    <t>JL-019</t>
  </si>
  <si>
    <t>ST-018</t>
  </si>
  <si>
    <t>JA-004 CANNON</t>
  </si>
  <si>
    <t>ST-025 (1600)</t>
  </si>
  <si>
    <t>CBP-001 (BAJO PERFIL)</t>
  </si>
  <si>
    <t>ST-034 KOMATSU</t>
  </si>
  <si>
    <t>JL-024 CANNON</t>
  </si>
  <si>
    <t>MG-105</t>
  </si>
  <si>
    <t>MG-044</t>
  </si>
  <si>
    <t>MG-111</t>
  </si>
  <si>
    <t>MG-120</t>
  </si>
  <si>
    <t>PROSERMIN</t>
  </si>
  <si>
    <t>RE-010 (RETROEXCAVADORA)</t>
  </si>
  <si>
    <t>ST-060</t>
  </si>
  <si>
    <t>ST-53</t>
  </si>
  <si>
    <t>ST-039</t>
  </si>
  <si>
    <t>RAUL</t>
  </si>
  <si>
    <t>CESAR</t>
  </si>
  <si>
    <t>JESUS</t>
  </si>
  <si>
    <t>CARLOS</t>
  </si>
  <si>
    <t>WILFREDO</t>
  </si>
  <si>
    <t>HILARIO</t>
  </si>
  <si>
    <t>MARTHAA</t>
  </si>
  <si>
    <t>FRANCISCO</t>
  </si>
  <si>
    <t>JUAN</t>
  </si>
  <si>
    <t>LUIS</t>
  </si>
  <si>
    <t>ROBERTO</t>
  </si>
  <si>
    <t>MISAEL</t>
  </si>
  <si>
    <t>ADRIAN</t>
  </si>
  <si>
    <t>MIGUEL</t>
  </si>
  <si>
    <t>CESARR</t>
  </si>
  <si>
    <t>REYNALDO</t>
  </si>
  <si>
    <t xml:space="preserve">JUAN </t>
  </si>
  <si>
    <t>LEONEL</t>
  </si>
  <si>
    <t>FELIX</t>
  </si>
  <si>
    <t>WIFREDO</t>
  </si>
  <si>
    <t>MARTIN</t>
  </si>
  <si>
    <t>PAYAN</t>
  </si>
  <si>
    <t xml:space="preserve">LUIS </t>
  </si>
  <si>
    <t>JL-025</t>
  </si>
  <si>
    <t>OÑATE</t>
  </si>
  <si>
    <t>TONY</t>
  </si>
  <si>
    <t>JOSE</t>
  </si>
  <si>
    <t>MANUEL</t>
  </si>
  <si>
    <t>CRISTIAN</t>
  </si>
  <si>
    <t>NATIVIDAD</t>
  </si>
  <si>
    <t>OÑETE</t>
  </si>
  <si>
    <t xml:space="preserve">MANUEL </t>
  </si>
  <si>
    <t>ANTONIO</t>
  </si>
  <si>
    <t>RAFAEL</t>
  </si>
  <si>
    <t xml:space="preserve">JESUS </t>
  </si>
  <si>
    <t>SERGIO</t>
  </si>
  <si>
    <t>GERMAN</t>
  </si>
  <si>
    <t xml:space="preserve">JOSE </t>
  </si>
  <si>
    <t>JORGE</t>
  </si>
  <si>
    <t>VICTOR</t>
  </si>
  <si>
    <t>MGA/PROSERMIN</t>
  </si>
  <si>
    <t xml:space="preserve">TONY </t>
  </si>
  <si>
    <t>CISTIAN</t>
  </si>
  <si>
    <t>ZN</t>
  </si>
  <si>
    <t>ROGELIO</t>
  </si>
  <si>
    <t>ALEJANDRO</t>
  </si>
  <si>
    <t>EVER</t>
  </si>
  <si>
    <t>JOSE RIVERA</t>
  </si>
  <si>
    <t>ADALVERTO</t>
  </si>
  <si>
    <t>OSCAR</t>
  </si>
  <si>
    <t>ADLBERTO</t>
  </si>
  <si>
    <t>ADALBERTO</t>
  </si>
  <si>
    <t>ZONA NORTE</t>
  </si>
  <si>
    <t>ALBERTO</t>
  </si>
  <si>
    <t>MGA</t>
  </si>
  <si>
    <t>ADALBETO</t>
  </si>
  <si>
    <t>ODIN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</si>
</sst>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10" borderId="0" applyNumberFormat="0" applyBorder="0" applyAlignment="0" applyProtection="0"/>
    <xf numFmtId="0" fontId="3" fillId="11" borderId="0" applyNumberFormat="0" applyBorder="0" applyAlignment="0" applyProtection="0"/>
    <xf numFmtId="0" fontId="5" fillId="12" borderId="0" applyNumberFormat="0" applyBorder="0" applyAlignment="0" applyProtection="0"/>
  </cellStyleXfs>
  <cellXfs count="210">
    <xf numFmtId="0" fontId="0" fillId="0" borderId="0" xfId="0"/>
    <xf numFmtId="0" fontId="0" fillId="0" borderId="2" xfId="0" applyBorder="1" applyAlignment="1">
      <alignment horizontal="center" vertical="center"/>
    </xf>
    <xf numFmtId="0" fontId="0" fillId="4" borderId="2" xfId="0" applyFill="1" applyBorder="1"/>
    <xf numFmtId="0" fontId="0" fillId="8" borderId="2" xfId="0" applyFill="1" applyBorder="1"/>
    <xf numFmtId="0" fontId="0" fillId="6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3" borderId="2" xfId="0" applyFill="1" applyBorder="1"/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/>
    </xf>
    <xf numFmtId="0" fontId="0" fillId="3" borderId="2" xfId="1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1" fillId="14" borderId="6" xfId="0" applyFont="1" applyFill="1" applyBorder="1" applyAlignment="1">
      <alignment horizontal="center" vertical="center" wrapText="1"/>
    </xf>
    <xf numFmtId="0" fontId="11" fillId="14" borderId="21" xfId="0" applyFont="1" applyFill="1" applyBorder="1" applyAlignment="1">
      <alignment horizontal="center" vertical="center" wrapText="1"/>
    </xf>
    <xf numFmtId="0" fontId="11" fillId="14" borderId="22" xfId="0" applyFont="1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3" fillId="3" borderId="21" xfId="1" applyFont="1" applyFill="1" applyBorder="1" applyAlignment="1">
      <alignment horizontal="center" vertical="center"/>
    </xf>
    <xf numFmtId="0" fontId="3" fillId="3" borderId="22" xfId="1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3" borderId="35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10" fillId="14" borderId="12" xfId="0" applyNumberFormat="1" applyFont="1" applyFill="1" applyBorder="1" applyAlignment="1">
      <alignment horizontal="center" vertical="center" wrapText="1"/>
    </xf>
    <xf numFmtId="0" fontId="11" fillId="14" borderId="7" xfId="4" applyFont="1" applyFill="1" applyBorder="1" applyAlignment="1">
      <alignment horizontal="center" vertical="center"/>
    </xf>
    <xf numFmtId="0" fontId="11" fillId="14" borderId="14" xfId="4" applyFont="1" applyFill="1" applyBorder="1" applyAlignment="1">
      <alignment horizontal="center" vertical="center"/>
    </xf>
    <xf numFmtId="9" fontId="10" fillId="14" borderId="9" xfId="0" applyNumberFormat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1" fillId="14" borderId="44" xfId="0" applyFont="1" applyFill="1" applyBorder="1" applyAlignment="1">
      <alignment horizontal="center" vertical="center" wrapText="1"/>
    </xf>
    <xf numFmtId="0" fontId="11" fillId="14" borderId="45" xfId="0" applyFont="1" applyFill="1" applyBorder="1" applyAlignment="1">
      <alignment horizontal="center" vertical="center" wrapText="1"/>
    </xf>
    <xf numFmtId="0" fontId="11" fillId="14" borderId="46" xfId="0" applyFont="1" applyFill="1" applyBorder="1" applyAlignment="1">
      <alignment horizontal="center" vertical="center" wrapText="1"/>
    </xf>
    <xf numFmtId="0" fontId="11" fillId="14" borderId="48" xfId="0" applyFont="1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2" fillId="13" borderId="13" xfId="0" applyFont="1" applyFill="1" applyBorder="1" applyAlignment="1">
      <alignment horizontal="center" vertical="center"/>
    </xf>
    <xf numFmtId="0" fontId="7" fillId="13" borderId="13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9" fillId="3" borderId="5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13" borderId="21" xfId="0" applyFont="1" applyFill="1" applyBorder="1" applyAlignment="1">
      <alignment horizontal="center" vertical="center"/>
    </xf>
    <xf numFmtId="0" fontId="8" fillId="13" borderId="22" xfId="0" applyFont="1" applyFill="1" applyBorder="1" applyAlignment="1">
      <alignment horizontal="center" vertical="center"/>
    </xf>
    <xf numFmtId="0" fontId="8" fillId="13" borderId="35" xfId="0" applyFont="1" applyFill="1" applyBorder="1" applyAlignment="1">
      <alignment horizontal="center" vertical="center"/>
    </xf>
    <xf numFmtId="0" fontId="8" fillId="13" borderId="50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9" fillId="3" borderId="51" xfId="0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5" fillId="14" borderId="17" xfId="0" applyFont="1" applyFill="1" applyBorder="1"/>
    <xf numFmtId="0" fontId="5" fillId="14" borderId="18" xfId="0" applyFont="1" applyFill="1" applyBorder="1"/>
    <xf numFmtId="0" fontId="5" fillId="14" borderId="0" xfId="0" applyFont="1" applyFill="1"/>
    <xf numFmtId="0" fontId="5" fillId="14" borderId="39" xfId="0" applyFont="1" applyFill="1" applyBorder="1"/>
    <xf numFmtId="0" fontId="8" fillId="0" borderId="54" xfId="0" applyFont="1" applyBorder="1" applyAlignment="1">
      <alignment horizontal="center" vertical="center"/>
    </xf>
    <xf numFmtId="0" fontId="0" fillId="0" borderId="55" xfId="0" applyBorder="1"/>
    <xf numFmtId="0" fontId="2" fillId="13" borderId="43" xfId="0" applyFont="1" applyFill="1" applyBorder="1" applyAlignment="1">
      <alignment horizontal="center" vertical="center"/>
    </xf>
    <xf numFmtId="0" fontId="6" fillId="13" borderId="56" xfId="1" applyFont="1" applyFill="1" applyBorder="1" applyAlignment="1">
      <alignment horizontal="left" vertical="center" wrapText="1"/>
    </xf>
    <xf numFmtId="1" fontId="0" fillId="13" borderId="13" xfId="0" applyNumberFormat="1" applyFill="1" applyBorder="1" applyAlignment="1">
      <alignment horizontal="center" vertical="center"/>
    </xf>
    <xf numFmtId="0" fontId="0" fillId="0" borderId="13" xfId="0" applyBorder="1"/>
    <xf numFmtId="0" fontId="13" fillId="14" borderId="43" xfId="2" applyFont="1" applyFill="1" applyBorder="1" applyAlignment="1">
      <alignment horizontal="center" vertical="center"/>
    </xf>
    <xf numFmtId="0" fontId="13" fillId="14" borderId="40" xfId="0" applyFont="1" applyFill="1" applyBorder="1" applyAlignment="1">
      <alignment horizontal="center" vertical="center" wrapText="1"/>
    </xf>
    <xf numFmtId="0" fontId="13" fillId="14" borderId="41" xfId="0" applyFont="1" applyFill="1" applyBorder="1" applyAlignment="1">
      <alignment horizontal="center" vertical="center" wrapText="1"/>
    </xf>
    <xf numFmtId="0" fontId="13" fillId="14" borderId="42" xfId="0" applyFont="1" applyFill="1" applyBorder="1" applyAlignment="1">
      <alignment horizontal="center" vertical="center" wrapText="1"/>
    </xf>
    <xf numFmtId="0" fontId="15" fillId="13" borderId="19" xfId="1" applyFont="1" applyFill="1" applyBorder="1" applyAlignment="1">
      <alignment horizontal="left" vertical="center" wrapText="1"/>
    </xf>
    <xf numFmtId="0" fontId="15" fillId="13" borderId="32" xfId="1" applyFont="1" applyFill="1" applyBorder="1" applyAlignment="1">
      <alignment horizontal="left" vertical="center" wrapText="1"/>
    </xf>
    <xf numFmtId="1" fontId="0" fillId="3" borderId="25" xfId="0" applyNumberForma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" fontId="0" fillId="3" borderId="26" xfId="0" applyNumberForma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0" fontId="6" fillId="13" borderId="48" xfId="1" applyFont="1" applyFill="1" applyBorder="1" applyAlignment="1">
      <alignment horizontal="left" vertical="center" wrapText="1"/>
    </xf>
    <xf numFmtId="0" fontId="7" fillId="13" borderId="43" xfId="0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/>
    </xf>
    <xf numFmtId="1" fontId="0" fillId="13" borderId="43" xfId="0" applyNumberFormat="1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0" fontId="8" fillId="13" borderId="6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58" xfId="0" applyFill="1" applyBorder="1" applyAlignment="1">
      <alignment horizontal="center" vertical="center" wrapText="1"/>
    </xf>
    <xf numFmtId="0" fontId="8" fillId="13" borderId="59" xfId="0" applyFont="1" applyFill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14" borderId="61" xfId="0" applyFont="1" applyFill="1" applyBorder="1" applyAlignment="1">
      <alignment horizontal="center" vertical="center" wrapText="1"/>
    </xf>
    <xf numFmtId="0" fontId="11" fillId="14" borderId="36" xfId="0" applyFont="1" applyFill="1" applyBorder="1" applyAlignment="1">
      <alignment horizontal="center" vertical="center" wrapText="1"/>
    </xf>
    <xf numFmtId="0" fontId="0" fillId="3" borderId="59" xfId="0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 wrapText="1"/>
    </xf>
    <xf numFmtId="0" fontId="0" fillId="3" borderId="62" xfId="0" applyFill="1" applyBorder="1" applyAlignment="1">
      <alignment horizontal="center" vertical="center"/>
    </xf>
    <xf numFmtId="0" fontId="17" fillId="14" borderId="63" xfId="0" applyFont="1" applyFill="1" applyBorder="1" applyAlignment="1">
      <alignment horizontal="center" vertical="center" wrapText="1"/>
    </xf>
    <xf numFmtId="0" fontId="17" fillId="14" borderId="64" xfId="0" applyFont="1" applyFill="1" applyBorder="1" applyAlignment="1">
      <alignment horizontal="center" vertical="center" wrapText="1"/>
    </xf>
    <xf numFmtId="2" fontId="17" fillId="14" borderId="36" xfId="0" applyNumberFormat="1" applyFont="1" applyFill="1" applyBorder="1" applyAlignment="1">
      <alignment horizontal="center" vertical="center" wrapText="1"/>
    </xf>
    <xf numFmtId="2" fontId="17" fillId="14" borderId="17" xfId="0" applyNumberFormat="1" applyFont="1" applyFill="1" applyBorder="1" applyAlignment="1">
      <alignment horizontal="center" vertical="center" wrapText="1"/>
    </xf>
    <xf numFmtId="2" fontId="17" fillId="14" borderId="18" xfId="0" applyNumberFormat="1" applyFont="1" applyFill="1" applyBorder="1" applyAlignment="1">
      <alignment horizontal="center" vertical="center" wrapText="1"/>
    </xf>
    <xf numFmtId="0" fontId="0" fillId="0" borderId="44" xfId="0" applyBorder="1" applyAlignment="1">
      <alignment horizontal="left" vertical="center"/>
    </xf>
    <xf numFmtId="0" fontId="18" fillId="0" borderId="60" xfId="0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4" fontId="0" fillId="0" borderId="61" xfId="0" applyNumberFormat="1" applyBorder="1" applyAlignment="1">
      <alignment horizontal="center" vertical="center"/>
    </xf>
    <xf numFmtId="0" fontId="0" fillId="0" borderId="66" xfId="0" applyBorder="1" applyAlignment="1">
      <alignment horizontal="center"/>
    </xf>
    <xf numFmtId="1" fontId="0" fillId="0" borderId="66" xfId="0" applyNumberFormat="1" applyBorder="1" applyAlignment="1">
      <alignment horizontal="center"/>
    </xf>
    <xf numFmtId="0" fontId="18" fillId="15" borderId="60" xfId="0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8" fillId="15" borderId="55" xfId="0" applyFont="1" applyFill="1" applyBorder="1" applyAlignment="1">
      <alignment horizontal="center" vertical="center"/>
    </xf>
    <xf numFmtId="4" fontId="0" fillId="0" borderId="68" xfId="0" applyNumberFormat="1" applyBorder="1" applyAlignment="1">
      <alignment horizontal="center" vertical="center"/>
    </xf>
    <xf numFmtId="4" fontId="0" fillId="0" borderId="43" xfId="0" applyNumberFormat="1" applyBorder="1" applyAlignment="1">
      <alignment horizontal="center" vertical="center"/>
    </xf>
    <xf numFmtId="0" fontId="6" fillId="13" borderId="48" xfId="1" applyFont="1" applyFill="1" applyBorder="1" applyAlignment="1">
      <alignment horizontal="left" vertical="center"/>
    </xf>
    <xf numFmtId="0" fontId="6" fillId="13" borderId="65" xfId="1" applyFont="1" applyFill="1" applyBorder="1" applyAlignment="1">
      <alignment horizontal="left" vertical="center" wrapText="1"/>
    </xf>
    <xf numFmtId="0" fontId="6" fillId="13" borderId="49" xfId="1" applyFont="1" applyFill="1" applyBorder="1" applyAlignment="1">
      <alignment horizontal="left" vertical="center" wrapText="1"/>
    </xf>
    <xf numFmtId="0" fontId="6" fillId="13" borderId="47" xfId="1" applyFont="1" applyFill="1" applyBorder="1" applyAlignment="1">
      <alignment horizontal="left" vertical="center" wrapText="1"/>
    </xf>
    <xf numFmtId="0" fontId="6" fillId="13" borderId="37" xfId="1" applyFont="1" applyFill="1" applyBorder="1" applyAlignment="1">
      <alignment horizontal="left" vertical="center"/>
    </xf>
    <xf numFmtId="0" fontId="6" fillId="13" borderId="43" xfId="1" applyFont="1" applyFill="1" applyBorder="1" applyAlignment="1">
      <alignment horizontal="left" vertical="center"/>
    </xf>
    <xf numFmtId="0" fontId="6" fillId="13" borderId="47" xfId="1" applyFont="1" applyFill="1" applyBorder="1" applyAlignment="1">
      <alignment horizontal="left" vertical="center"/>
    </xf>
    <xf numFmtId="0" fontId="0" fillId="3" borderId="69" xfId="0" applyFill="1" applyBorder="1" applyAlignment="1">
      <alignment horizontal="center" vertical="center" wrapText="1"/>
    </xf>
    <xf numFmtId="0" fontId="11" fillId="14" borderId="65" xfId="0" applyFont="1" applyFill="1" applyBorder="1" applyAlignment="1">
      <alignment horizontal="center" vertical="center" wrapText="1"/>
    </xf>
    <xf numFmtId="0" fontId="0" fillId="3" borderId="69" xfId="0" applyFill="1" applyBorder="1" applyAlignment="1">
      <alignment horizontal="center" vertical="center"/>
    </xf>
    <xf numFmtId="0" fontId="0" fillId="15" borderId="0" xfId="0" applyFill="1"/>
    <xf numFmtId="0" fontId="2" fillId="0" borderId="13" xfId="0" applyFont="1" applyBorder="1" applyAlignment="1">
      <alignment horizontal="center"/>
    </xf>
    <xf numFmtId="0" fontId="0" fillId="3" borderId="6" xfId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2" fontId="0" fillId="13" borderId="36" xfId="0" applyNumberFormat="1" applyFill="1" applyBorder="1" applyAlignment="1">
      <alignment horizontal="center" vertical="center" wrapText="1"/>
    </xf>
    <xf numFmtId="2" fontId="0" fillId="13" borderId="43" xfId="0" applyNumberFormat="1" applyFill="1" applyBorder="1" applyAlignment="1">
      <alignment horizontal="center" vertical="center" wrapText="1"/>
    </xf>
    <xf numFmtId="0" fontId="10" fillId="14" borderId="16" xfId="2" applyFont="1" applyFill="1" applyBorder="1" applyAlignment="1">
      <alignment horizontal="center" vertical="center"/>
    </xf>
    <xf numFmtId="0" fontId="10" fillId="14" borderId="38" xfId="2" applyFont="1" applyFill="1" applyBorder="1" applyAlignment="1">
      <alignment horizontal="center" vertical="center"/>
    </xf>
    <xf numFmtId="0" fontId="10" fillId="14" borderId="16" xfId="3" applyFont="1" applyFill="1" applyBorder="1" applyAlignment="1">
      <alignment horizontal="center" vertical="center"/>
    </xf>
    <xf numFmtId="0" fontId="10" fillId="14" borderId="17" xfId="3" applyFont="1" applyFill="1" applyBorder="1" applyAlignment="1">
      <alignment horizontal="center" vertical="center"/>
    </xf>
    <xf numFmtId="0" fontId="10" fillId="14" borderId="18" xfId="3" applyFont="1" applyFill="1" applyBorder="1" applyAlignment="1">
      <alignment horizontal="center" vertical="center"/>
    </xf>
    <xf numFmtId="0" fontId="10" fillId="14" borderId="19" xfId="3" applyFont="1" applyFill="1" applyBorder="1" applyAlignment="1">
      <alignment horizontal="center" vertical="center"/>
    </xf>
    <xf numFmtId="0" fontId="10" fillId="14" borderId="8" xfId="3" applyFont="1" applyFill="1" applyBorder="1" applyAlignment="1">
      <alignment horizontal="center" vertical="center"/>
    </xf>
    <xf numFmtId="0" fontId="10" fillId="14" borderId="20" xfId="3" applyFont="1" applyFill="1" applyBorder="1" applyAlignment="1">
      <alignment horizontal="center" vertical="center"/>
    </xf>
    <xf numFmtId="0" fontId="10" fillId="14" borderId="36" xfId="3" applyFont="1" applyFill="1" applyBorder="1" applyAlignment="1">
      <alignment horizontal="center" vertical="center"/>
    </xf>
    <xf numFmtId="0" fontId="10" fillId="14" borderId="37" xfId="3" applyFont="1" applyFill="1" applyBorder="1" applyAlignment="1">
      <alignment horizontal="center" vertical="center"/>
    </xf>
    <xf numFmtId="0" fontId="10" fillId="14" borderId="32" xfId="3" applyFont="1" applyFill="1" applyBorder="1" applyAlignment="1">
      <alignment horizontal="center" vertical="center"/>
    </xf>
    <xf numFmtId="0" fontId="10" fillId="14" borderId="33" xfId="3" applyFont="1" applyFill="1" applyBorder="1" applyAlignment="1">
      <alignment horizontal="center" vertical="center"/>
    </xf>
    <xf numFmtId="0" fontId="10" fillId="14" borderId="34" xfId="3" applyFont="1" applyFill="1" applyBorder="1" applyAlignment="1">
      <alignment horizontal="center" vertical="center"/>
    </xf>
    <xf numFmtId="0" fontId="10" fillId="0" borderId="37" xfId="3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2" fontId="2" fillId="13" borderId="38" xfId="0" applyNumberFormat="1" applyFont="1" applyFill="1" applyBorder="1" applyAlignment="1">
      <alignment horizontal="center" vertical="center" wrapText="1"/>
    </xf>
    <xf numFmtId="2" fontId="2" fillId="13" borderId="32" xfId="0" applyNumberFormat="1" applyFont="1" applyFill="1" applyBorder="1" applyAlignment="1">
      <alignment horizontal="center" vertical="center" wrapText="1"/>
    </xf>
    <xf numFmtId="0" fontId="11" fillId="14" borderId="52" xfId="4" applyFont="1" applyFill="1" applyBorder="1" applyAlignment="1">
      <alignment horizontal="center" vertical="center"/>
    </xf>
    <xf numFmtId="0" fontId="11" fillId="14" borderId="53" xfId="4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2" fontId="0" fillId="13" borderId="16" xfId="0" applyNumberFormat="1" applyFill="1" applyBorder="1" applyAlignment="1">
      <alignment horizontal="center" vertical="center" wrapText="1"/>
    </xf>
    <xf numFmtId="2" fontId="0" fillId="13" borderId="32" xfId="0" applyNumberFormat="1" applyFill="1" applyBorder="1" applyAlignment="1">
      <alignment horizontal="center" vertical="center" wrapText="1"/>
    </xf>
    <xf numFmtId="0" fontId="10" fillId="14" borderId="19" xfId="2" applyFont="1" applyFill="1" applyBorder="1" applyAlignment="1">
      <alignment horizontal="center" vertical="center"/>
    </xf>
    <xf numFmtId="0" fontId="10" fillId="14" borderId="47" xfId="3" applyFont="1" applyFill="1" applyBorder="1" applyAlignment="1">
      <alignment horizontal="center" vertical="center"/>
    </xf>
    <xf numFmtId="0" fontId="10" fillId="0" borderId="39" xfId="3" applyFont="1" applyFill="1" applyBorder="1" applyAlignment="1">
      <alignment horizontal="center" vertical="center"/>
    </xf>
    <xf numFmtId="0" fontId="10" fillId="14" borderId="38" xfId="3" applyFont="1" applyFill="1" applyBorder="1" applyAlignment="1">
      <alignment horizontal="center" vertical="center"/>
    </xf>
    <xf numFmtId="0" fontId="10" fillId="14" borderId="0" xfId="3" applyFont="1" applyFill="1" applyBorder="1" applyAlignment="1">
      <alignment horizontal="center" vertical="center"/>
    </xf>
    <xf numFmtId="0" fontId="10" fillId="14" borderId="39" xfId="3" applyFont="1" applyFill="1" applyBorder="1" applyAlignment="1">
      <alignment horizontal="center" vertical="center"/>
    </xf>
    <xf numFmtId="0" fontId="14" fillId="0" borderId="16" xfId="4" applyFont="1" applyFill="1" applyBorder="1" applyAlignment="1">
      <alignment horizontal="center" vertical="center"/>
    </xf>
    <xf numFmtId="0" fontId="14" fillId="0" borderId="17" xfId="4" applyFont="1" applyFill="1" applyBorder="1" applyAlignment="1">
      <alignment horizontal="center" vertical="center"/>
    </xf>
    <xf numFmtId="0" fontId="14" fillId="0" borderId="18" xfId="4" applyFont="1" applyFill="1" applyBorder="1" applyAlignment="1">
      <alignment horizontal="center" vertical="center"/>
    </xf>
    <xf numFmtId="0" fontId="14" fillId="0" borderId="32" xfId="4" applyFont="1" applyFill="1" applyBorder="1" applyAlignment="1">
      <alignment horizontal="center" vertical="center"/>
    </xf>
    <xf numFmtId="0" fontId="14" fillId="0" borderId="33" xfId="4" applyFont="1" applyFill="1" applyBorder="1" applyAlignment="1">
      <alignment horizontal="center" vertical="center"/>
    </xf>
    <xf numFmtId="0" fontId="14" fillId="0" borderId="34" xfId="4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</cellXfs>
  <cellStyles count="5">
    <cellStyle name="40% - Énfasis3" xfId="3" builtinId="39"/>
    <cellStyle name="60% - Énfasis6" xfId="4" builtinId="52"/>
    <cellStyle name="Bueno" xfId="2" builtinId="26"/>
    <cellStyle name="Entrada" xfId="1" builtinId="20"/>
    <cellStyle name="Normal" xfId="0" builtinId="0"/>
  </cellStyles>
  <dxfs count="122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170279</xdr:colOff>
      <xdr:row>0</xdr:row>
      <xdr:rowOff>193494</xdr:rowOff>
    </xdr:from>
    <xdr:to>
      <xdr:col>0</xdr:col>
      <xdr:colOff>2103120</xdr:colOff>
      <xdr:row>2</xdr:row>
      <xdr:rowOff>101218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279" y="193494"/>
          <a:ext cx="1932841" cy="7002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759548-B383-490A-B053-039F44AE2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7D6D009-A07D-4294-A19B-535EC7F3F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19CE77-B481-496A-BB60-C8B70AEB7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DF172A-A8BE-46D3-86E0-B2C9CA77A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8B07EC-BA8E-40AC-8432-913F6BF4B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5A7DE3-2903-46FD-BDBE-8265B3501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254267-A3F7-4F05-A423-B9947F204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90C334C-7A0C-4E84-A4D7-B3CF4D737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C77A86-FAD1-4CEE-AAE7-19AF3BEDF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16AE67-976D-430D-9FDA-D1D944428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412A69-D322-400D-A518-A2BD4A035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62E292-750E-4A93-B534-9F2DA0C49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8A026B-C873-400D-A4F8-BEF10E4BD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491C5B-BF3E-4218-86CA-00CE2E3BE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C6757F-2F63-4765-8BCA-1AFF97EE5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965CD1-E7F2-4A58-8513-B99F62E79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737B04-CFA9-4755-B90A-FF6C2A40F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B3FD448-A408-47AC-B0D7-93D04AFB9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61B958-E2BA-4E54-A743-EDC30713E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EB5700-8D47-46E8-85CD-FADB041B6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D78F50-F094-4E5C-AB81-BB69D7213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981218-B21E-43CB-AE80-FF888CF47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178253</xdr:rowOff>
    </xdr:from>
    <xdr:to>
      <xdr:col>1</xdr:col>
      <xdr:colOff>416288</xdr:colOff>
      <xdr:row>1</xdr:row>
      <xdr:rowOff>106680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2A31CE-74BD-4171-AB44-C03E17CF9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78253"/>
          <a:ext cx="1269727" cy="47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BA9B7D-B39A-473C-B11A-FD215E6A3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BA970B-0337-4B72-AFDD-337FEDEE5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17DC14-422F-4851-A634-E742F7FCD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924A93-82B5-44FB-88F9-7B5CB69DD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36344A-700B-4FDE-9C69-E5E958D8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675F55-F05C-4A01-A6A9-1554FB08A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F52A45-5161-45CB-AF50-396C2D2DC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200759</xdr:colOff>
      <xdr:row>0</xdr:row>
      <xdr:rowOff>208734</xdr:rowOff>
    </xdr:from>
    <xdr:to>
      <xdr:col>0</xdr:col>
      <xdr:colOff>2133600</xdr:colOff>
      <xdr:row>2</xdr:row>
      <xdr:rowOff>116458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574549-235F-4484-B89F-9D4063C5F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59" y="208734"/>
          <a:ext cx="1932841" cy="692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91441</xdr:colOff>
      <xdr:row>1</xdr:row>
      <xdr:rowOff>44228</xdr:rowOff>
    </xdr:from>
    <xdr:to>
      <xdr:col>1</xdr:col>
      <xdr:colOff>1371601</xdr:colOff>
      <xdr:row>3</xdr:row>
      <xdr:rowOff>146483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BAD4CE-AFA2-4046-BD47-C128B5EF9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1" y="234728"/>
          <a:ext cx="1280160" cy="460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GA/Desktop/DIESEL%20CREDITO%20PROVIDENCIA%20PROSERM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O DE DIESEL 2026"/>
      <sheetName val="ANCLAS PRESTADAS"/>
    </sheetNames>
    <sheetDataSet>
      <sheetData sheetId="0">
        <row r="41">
          <cell r="AF41">
            <v>2995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U51"/>
  <sheetViews>
    <sheetView showGridLines="0" view="pageBreakPreview" topLeftCell="A12" zoomScale="50" zoomScaleNormal="60" zoomScaleSheetLayoutView="50" workbookViewId="0">
      <selection activeCell="A20" sqref="A20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>
        <v>2100</v>
      </c>
      <c r="P2" s="160">
        <v>13309</v>
      </c>
      <c r="Q2" s="160">
        <f>P2-O35</f>
        <v>11756</v>
      </c>
    </row>
    <row r="3" spans="1:17" ht="18.600000000000001" customHeight="1" thickBot="1">
      <c r="A3" s="157"/>
      <c r="B3" s="81"/>
      <c r="C3" s="82"/>
      <c r="D3" s="86"/>
      <c r="E3" s="185"/>
      <c r="F3" s="185"/>
      <c r="G3" s="185"/>
      <c r="H3" s="185"/>
      <c r="I3" s="185"/>
      <c r="J3" s="185"/>
      <c r="K3" s="185"/>
      <c r="L3" s="185"/>
      <c r="M3" s="185"/>
      <c r="N3" s="186"/>
      <c r="O3" s="178"/>
      <c r="P3" s="161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70"/>
      <c r="P4" s="77"/>
      <c r="Q4" s="78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71"/>
      <c r="P5" s="79"/>
      <c r="Q5" s="80"/>
    </row>
    <row r="6" spans="1:17" ht="42.6" thickBot="1">
      <c r="A6" s="163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>D6</f>
        <v>Nombre Operador</v>
      </c>
      <c r="L6" s="52" t="str">
        <f>E6</f>
        <v>Nombre Despachador</v>
      </c>
      <c r="M6" s="52" t="str">
        <f>F6</f>
        <v xml:space="preserve">Nombre del supervisor </v>
      </c>
      <c r="N6" s="112" t="s">
        <v>33</v>
      </c>
      <c r="O6" s="146" t="s">
        <v>50</v>
      </c>
      <c r="P6" s="51" t="s">
        <v>31</v>
      </c>
      <c r="Q6" s="53" t="s">
        <v>32</v>
      </c>
    </row>
    <row r="7" spans="1:17" ht="33.75" customHeight="1">
      <c r="A7" s="139" t="s">
        <v>34</v>
      </c>
      <c r="B7" s="24">
        <v>4848</v>
      </c>
      <c r="C7" s="60">
        <v>133</v>
      </c>
      <c r="D7" s="71" t="s">
        <v>80</v>
      </c>
      <c r="E7" s="12" t="s">
        <v>81</v>
      </c>
      <c r="F7" s="12" t="s">
        <v>82</v>
      </c>
      <c r="G7" s="25"/>
      <c r="H7" s="42"/>
      <c r="I7" s="26"/>
      <c r="J7" s="16"/>
      <c r="K7" s="12"/>
      <c r="L7" s="12"/>
      <c r="M7" s="12"/>
      <c r="N7" s="107"/>
      <c r="O7" s="55">
        <f>C7+J7</f>
        <v>133</v>
      </c>
      <c r="P7" s="67">
        <f t="shared" ref="P7:P23" si="0">G7-B7</f>
        <v>-4848</v>
      </c>
      <c r="Q7" s="68">
        <f t="shared" ref="Q7:Q23" si="1">N7-I7</f>
        <v>0</v>
      </c>
    </row>
    <row r="8" spans="1:17" ht="33.75" customHeight="1">
      <c r="A8" s="140" t="s">
        <v>67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107"/>
      <c r="O8" s="55">
        <f t="shared" ref="O8:O33" si="2">C8+J8</f>
        <v>0</v>
      </c>
      <c r="P8" s="67">
        <f t="shared" si="0"/>
        <v>0</v>
      </c>
      <c r="Q8" s="68">
        <f t="shared" si="1"/>
        <v>0</v>
      </c>
    </row>
    <row r="9" spans="1:17" ht="33.75" customHeight="1">
      <c r="A9" s="99" t="s">
        <v>59</v>
      </c>
      <c r="B9" s="24">
        <v>3909</v>
      </c>
      <c r="C9" s="61">
        <v>164</v>
      </c>
      <c r="D9" s="72" t="s">
        <v>82</v>
      </c>
      <c r="E9" s="12" t="s">
        <v>81</v>
      </c>
      <c r="F9" s="12" t="s">
        <v>82</v>
      </c>
      <c r="G9" s="27"/>
      <c r="H9" s="42"/>
      <c r="I9" s="26">
        <v>8916.7999999999993</v>
      </c>
      <c r="J9" s="14">
        <v>90</v>
      </c>
      <c r="K9" s="12" t="s">
        <v>88</v>
      </c>
      <c r="L9" s="12" t="s">
        <v>89</v>
      </c>
      <c r="M9" s="12" t="s">
        <v>90</v>
      </c>
      <c r="N9" s="107"/>
      <c r="O9" s="55">
        <f t="shared" si="2"/>
        <v>254</v>
      </c>
      <c r="P9" s="67">
        <f t="shared" si="0"/>
        <v>-3909</v>
      </c>
      <c r="Q9" s="68">
        <f t="shared" si="1"/>
        <v>-8916.7999999999993</v>
      </c>
    </row>
    <row r="10" spans="1:17" ht="33.75" customHeight="1">
      <c r="A10" s="141" t="s">
        <v>65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107"/>
      <c r="O10" s="55">
        <f t="shared" si="2"/>
        <v>0</v>
      </c>
      <c r="P10" s="67">
        <f t="shared" si="0"/>
        <v>0</v>
      </c>
      <c r="Q10" s="68">
        <f t="shared" si="1"/>
        <v>0</v>
      </c>
    </row>
    <row r="11" spans="1:17" ht="33.75" customHeight="1">
      <c r="A11" s="99" t="s">
        <v>69</v>
      </c>
      <c r="B11" s="24"/>
      <c r="C11" s="61"/>
      <c r="D11" s="72"/>
      <c r="E11" s="12"/>
      <c r="F11" s="12"/>
      <c r="G11" s="25"/>
      <c r="H11" s="42"/>
      <c r="I11" s="26"/>
      <c r="J11" s="14"/>
      <c r="K11" s="12"/>
      <c r="L11" s="12"/>
      <c r="M11" s="12"/>
      <c r="N11" s="107"/>
      <c r="O11" s="55">
        <f t="shared" si="2"/>
        <v>0</v>
      </c>
      <c r="P11" s="67">
        <f t="shared" si="0"/>
        <v>0</v>
      </c>
      <c r="Q11" s="68">
        <f t="shared" si="1"/>
        <v>0</v>
      </c>
    </row>
    <row r="12" spans="1:17" ht="33.75" customHeight="1">
      <c r="A12" s="140" t="s">
        <v>35</v>
      </c>
      <c r="B12" s="24"/>
      <c r="C12" s="60">
        <v>44</v>
      </c>
      <c r="D12" s="71" t="s">
        <v>84</v>
      </c>
      <c r="E12" s="12" t="s">
        <v>81</v>
      </c>
      <c r="F12" s="12" t="s">
        <v>82</v>
      </c>
      <c r="G12" s="25"/>
      <c r="H12" s="42"/>
      <c r="I12" s="26"/>
      <c r="J12" s="16"/>
      <c r="K12" s="12"/>
      <c r="L12" s="12"/>
      <c r="M12" s="12"/>
      <c r="N12" s="107"/>
      <c r="O12" s="55">
        <f t="shared" si="2"/>
        <v>44</v>
      </c>
      <c r="P12" s="67">
        <f t="shared" si="0"/>
        <v>0</v>
      </c>
      <c r="Q12" s="68">
        <f t="shared" si="1"/>
        <v>0</v>
      </c>
    </row>
    <row r="13" spans="1:17" ht="33.75" customHeight="1">
      <c r="A13" s="99" t="s">
        <v>64</v>
      </c>
      <c r="B13" s="24"/>
      <c r="C13" s="60"/>
      <c r="D13" s="71"/>
      <c r="E13" s="12"/>
      <c r="F13" s="12"/>
      <c r="G13" s="25"/>
      <c r="H13" s="42"/>
      <c r="I13" s="26"/>
      <c r="J13" s="16"/>
      <c r="K13" s="12"/>
      <c r="L13" s="12"/>
      <c r="M13" s="12"/>
      <c r="N13" s="107"/>
      <c r="O13" s="55">
        <f t="shared" si="2"/>
        <v>0</v>
      </c>
      <c r="P13" s="67">
        <f t="shared" si="0"/>
        <v>0</v>
      </c>
      <c r="Q13" s="68">
        <f t="shared" si="1"/>
        <v>0</v>
      </c>
    </row>
    <row r="14" spans="1:17" ht="33.75" customHeight="1">
      <c r="A14" s="99" t="s">
        <v>70</v>
      </c>
      <c r="B14" s="24"/>
      <c r="C14" s="60"/>
      <c r="D14" s="71"/>
      <c r="E14" s="12"/>
      <c r="F14" s="12"/>
      <c r="G14" s="25"/>
      <c r="H14" s="42"/>
      <c r="I14" s="26"/>
      <c r="J14" s="16"/>
      <c r="K14" s="12"/>
      <c r="L14" s="12"/>
      <c r="M14" s="12"/>
      <c r="N14" s="107"/>
      <c r="O14" s="55">
        <f t="shared" si="2"/>
        <v>0</v>
      </c>
      <c r="P14" s="67">
        <f t="shared" si="0"/>
        <v>0</v>
      </c>
      <c r="Q14" s="68">
        <f t="shared" si="1"/>
        <v>0</v>
      </c>
    </row>
    <row r="15" spans="1:17" ht="33.75" customHeight="1">
      <c r="A15" s="99" t="s">
        <v>60</v>
      </c>
      <c r="B15" s="24">
        <v>738.7</v>
      </c>
      <c r="C15" s="61">
        <v>31</v>
      </c>
      <c r="D15" s="72" t="s">
        <v>85</v>
      </c>
      <c r="E15" s="12" t="s">
        <v>81</v>
      </c>
      <c r="F15" s="12" t="s">
        <v>82</v>
      </c>
      <c r="G15" s="27"/>
      <c r="H15" s="42"/>
      <c r="I15" s="26"/>
      <c r="J15" s="16"/>
      <c r="K15" s="17"/>
      <c r="L15" s="17"/>
      <c r="M15" s="17"/>
      <c r="N15" s="107"/>
      <c r="O15" s="55">
        <f t="shared" si="2"/>
        <v>31</v>
      </c>
      <c r="P15" s="67">
        <f t="shared" si="0"/>
        <v>-738.7</v>
      </c>
      <c r="Q15" s="68">
        <f t="shared" si="1"/>
        <v>0</v>
      </c>
    </row>
    <row r="16" spans="1:17" ht="33.75" customHeight="1">
      <c r="A16" s="99" t="s">
        <v>66</v>
      </c>
      <c r="B16" s="24"/>
      <c r="C16" s="60"/>
      <c r="D16" s="71"/>
      <c r="E16" s="17"/>
      <c r="F16" s="12"/>
      <c r="G16" s="25"/>
      <c r="H16" s="42"/>
      <c r="I16" s="26"/>
      <c r="J16" s="16"/>
      <c r="K16" s="13"/>
      <c r="L16" s="13"/>
      <c r="M16" s="13"/>
      <c r="N16" s="108"/>
      <c r="O16" s="55">
        <f t="shared" si="2"/>
        <v>0</v>
      </c>
      <c r="P16" s="67">
        <f t="shared" si="0"/>
        <v>0</v>
      </c>
      <c r="Q16" s="68">
        <f t="shared" si="1"/>
        <v>0</v>
      </c>
    </row>
    <row r="17" spans="1:17" ht="33.75" customHeight="1">
      <c r="A17" s="99" t="s">
        <v>61</v>
      </c>
      <c r="B17" s="24"/>
      <c r="C17" s="62"/>
      <c r="D17" s="57"/>
      <c r="E17" s="13"/>
      <c r="F17" s="12"/>
      <c r="G17" s="28"/>
      <c r="H17" s="42"/>
      <c r="I17" s="26"/>
      <c r="J17" s="15"/>
      <c r="K17" s="13"/>
      <c r="L17" s="13"/>
      <c r="M17" s="13"/>
      <c r="N17" s="109"/>
      <c r="O17" s="55">
        <f t="shared" si="2"/>
        <v>0</v>
      </c>
      <c r="P17" s="67">
        <f t="shared" si="0"/>
        <v>0</v>
      </c>
      <c r="Q17" s="68">
        <f t="shared" si="1"/>
        <v>0</v>
      </c>
    </row>
    <row r="18" spans="1:17" ht="33.75" customHeight="1">
      <c r="A18" s="99" t="s">
        <v>76</v>
      </c>
      <c r="B18" s="24">
        <v>2728</v>
      </c>
      <c r="C18" s="62">
        <v>111</v>
      </c>
      <c r="D18" s="57" t="s">
        <v>86</v>
      </c>
      <c r="E18" s="13" t="s">
        <v>81</v>
      </c>
      <c r="F18" s="12" t="s">
        <v>82</v>
      </c>
      <c r="G18" s="28"/>
      <c r="H18" s="42"/>
      <c r="I18" s="26"/>
      <c r="J18" s="15"/>
      <c r="K18" s="13"/>
      <c r="L18" s="13"/>
      <c r="M18" s="13"/>
      <c r="N18" s="107"/>
      <c r="O18" s="55">
        <f t="shared" si="2"/>
        <v>111</v>
      </c>
      <c r="P18" s="67">
        <f t="shared" si="0"/>
        <v>-2728</v>
      </c>
      <c r="Q18" s="68">
        <f t="shared" si="1"/>
        <v>0</v>
      </c>
    </row>
    <row r="19" spans="1:17" ht="33.75" customHeight="1">
      <c r="A19" s="99" t="s">
        <v>123</v>
      </c>
      <c r="B19" s="24"/>
      <c r="C19" s="62"/>
      <c r="D19" s="57"/>
      <c r="E19" s="13"/>
      <c r="F19" s="12"/>
      <c r="G19" s="28"/>
      <c r="H19" s="42"/>
      <c r="I19" s="26"/>
      <c r="J19" s="16"/>
      <c r="K19" s="17"/>
      <c r="L19" s="17"/>
      <c r="M19" s="17"/>
      <c r="N19" s="107"/>
      <c r="O19" s="55">
        <f t="shared" si="2"/>
        <v>0</v>
      </c>
      <c r="P19" s="67">
        <f t="shared" si="0"/>
        <v>0</v>
      </c>
      <c r="Q19" s="68">
        <f t="shared" si="1"/>
        <v>0</v>
      </c>
    </row>
    <row r="20" spans="1:17" ht="33.75" customHeight="1">
      <c r="A20" s="99" t="s">
        <v>68</v>
      </c>
      <c r="B20" s="24"/>
      <c r="C20" s="62"/>
      <c r="D20" s="57"/>
      <c r="E20" s="13"/>
      <c r="F20" s="12"/>
      <c r="G20" s="29"/>
      <c r="H20" s="42"/>
      <c r="I20" s="26"/>
      <c r="J20" s="16"/>
      <c r="K20" s="17"/>
      <c r="L20" s="17"/>
      <c r="M20" s="17"/>
      <c r="N20" s="107"/>
      <c r="O20" s="55">
        <f t="shared" si="2"/>
        <v>0</v>
      </c>
      <c r="P20" s="67">
        <f t="shared" si="0"/>
        <v>0</v>
      </c>
      <c r="Q20" s="68">
        <f t="shared" si="1"/>
        <v>0</v>
      </c>
    </row>
    <row r="21" spans="1:17" ht="33.75" customHeight="1">
      <c r="A21" s="141" t="s">
        <v>71</v>
      </c>
      <c r="B21" s="24"/>
      <c r="C21" s="62"/>
      <c r="D21" s="57"/>
      <c r="E21" s="13"/>
      <c r="F21" s="12"/>
      <c r="G21" s="31"/>
      <c r="H21" s="43"/>
      <c r="I21" s="26"/>
      <c r="J21" s="16"/>
      <c r="K21" s="17"/>
      <c r="L21" s="17"/>
      <c r="M21" s="17"/>
      <c r="N21" s="108"/>
      <c r="O21" s="55">
        <f t="shared" si="2"/>
        <v>0</v>
      </c>
      <c r="P21" s="67">
        <f t="shared" si="0"/>
        <v>0</v>
      </c>
      <c r="Q21" s="68">
        <f t="shared" si="1"/>
        <v>0</v>
      </c>
    </row>
    <row r="22" spans="1:17" ht="33.75" customHeight="1">
      <c r="A22" s="141" t="s">
        <v>72</v>
      </c>
      <c r="B22" s="24"/>
      <c r="C22" s="62"/>
      <c r="D22" s="57"/>
      <c r="E22" s="13"/>
      <c r="F22" s="12"/>
      <c r="G22" s="31"/>
      <c r="H22" s="43"/>
      <c r="I22" s="26"/>
      <c r="J22" s="18"/>
      <c r="K22" s="76"/>
      <c r="L22" s="76"/>
      <c r="M22" s="19"/>
      <c r="N22" s="108"/>
      <c r="O22" s="55">
        <f t="shared" si="2"/>
        <v>0</v>
      </c>
      <c r="P22" s="67">
        <f t="shared" si="0"/>
        <v>0</v>
      </c>
      <c r="Q22" s="68">
        <f t="shared" ref="Q22" si="3">N22-I22</f>
        <v>0</v>
      </c>
    </row>
    <row r="23" spans="1:17" ht="33.75" customHeight="1">
      <c r="A23" s="141" t="s">
        <v>62</v>
      </c>
      <c r="B23" s="24"/>
      <c r="C23" s="60"/>
      <c r="D23" s="71"/>
      <c r="E23" s="12"/>
      <c r="F23" s="12"/>
      <c r="G23" s="31"/>
      <c r="H23" s="44"/>
      <c r="I23" s="26"/>
      <c r="J23" s="16"/>
      <c r="K23" s="12"/>
      <c r="L23" s="12"/>
      <c r="M23" s="12"/>
      <c r="N23" s="145"/>
      <c r="O23" s="55">
        <f t="shared" si="2"/>
        <v>0</v>
      </c>
      <c r="P23" s="67">
        <f t="shared" si="0"/>
        <v>0</v>
      </c>
      <c r="Q23" s="68">
        <f t="shared" si="1"/>
        <v>0</v>
      </c>
    </row>
    <row r="24" spans="1:17" ht="33.75" customHeight="1">
      <c r="A24" s="141" t="s">
        <v>36</v>
      </c>
      <c r="B24" s="24"/>
      <c r="C24" s="61"/>
      <c r="D24" s="72"/>
      <c r="E24" s="12"/>
      <c r="F24" s="12"/>
      <c r="G24" s="31"/>
      <c r="H24" s="43"/>
      <c r="I24" s="26"/>
      <c r="J24" s="16"/>
      <c r="K24" s="17"/>
      <c r="L24" s="17"/>
      <c r="M24" s="17"/>
      <c r="N24" s="145"/>
      <c r="O24" s="55">
        <f t="shared" si="2"/>
        <v>0</v>
      </c>
      <c r="P24" s="67">
        <f t="shared" ref="P24:P34" si="4">G24-B24</f>
        <v>0</v>
      </c>
      <c r="Q24" s="68">
        <f t="shared" ref="Q24:Q34" si="5">N24-I24</f>
        <v>0</v>
      </c>
    </row>
    <row r="25" spans="1:17" ht="33.75" customHeight="1">
      <c r="A25" s="141" t="s">
        <v>44</v>
      </c>
      <c r="B25" s="24"/>
      <c r="C25" s="60"/>
      <c r="D25" s="71"/>
      <c r="E25" s="17"/>
      <c r="F25" s="12"/>
      <c r="G25" s="31"/>
      <c r="H25" s="43"/>
      <c r="I25" s="26"/>
      <c r="J25" s="16"/>
      <c r="K25" s="13"/>
      <c r="L25" s="13"/>
      <c r="M25" s="13"/>
      <c r="N25" s="108"/>
      <c r="O25" s="55">
        <f t="shared" si="2"/>
        <v>0</v>
      </c>
      <c r="P25" s="67">
        <f t="shared" si="4"/>
        <v>0</v>
      </c>
      <c r="Q25" s="68">
        <f t="shared" si="5"/>
        <v>0</v>
      </c>
    </row>
    <row r="26" spans="1:17" ht="33.75" customHeight="1">
      <c r="A26" s="141" t="s">
        <v>63</v>
      </c>
      <c r="B26" s="24"/>
      <c r="C26" s="62"/>
      <c r="D26" s="57"/>
      <c r="E26" s="13"/>
      <c r="F26" s="12"/>
      <c r="G26" s="31"/>
      <c r="H26" s="43"/>
      <c r="I26" s="26"/>
      <c r="J26" s="15"/>
      <c r="K26" s="13"/>
      <c r="L26" s="13"/>
      <c r="M26" s="13"/>
      <c r="N26" s="108"/>
      <c r="O26" s="55">
        <f t="shared" si="2"/>
        <v>0</v>
      </c>
      <c r="P26" s="67">
        <f t="shared" si="4"/>
        <v>0</v>
      </c>
      <c r="Q26" s="68">
        <f t="shared" si="5"/>
        <v>0</v>
      </c>
    </row>
    <row r="27" spans="1:17" ht="33.75" customHeight="1">
      <c r="A27" s="141" t="s">
        <v>43</v>
      </c>
      <c r="B27" s="24">
        <v>86234</v>
      </c>
      <c r="C27" s="62">
        <v>84</v>
      </c>
      <c r="D27" s="57" t="s">
        <v>87</v>
      </c>
      <c r="E27" s="13" t="s">
        <v>81</v>
      </c>
      <c r="F27" s="12" t="s">
        <v>82</v>
      </c>
      <c r="G27" s="31"/>
      <c r="H27" s="43"/>
      <c r="I27" s="26"/>
      <c r="J27" s="15"/>
      <c r="K27" s="13"/>
      <c r="L27" s="13"/>
      <c r="M27" s="13"/>
      <c r="N27" s="108"/>
      <c r="O27" s="55">
        <f t="shared" si="2"/>
        <v>84</v>
      </c>
      <c r="P27" s="67">
        <f t="shared" si="4"/>
        <v>-86234</v>
      </c>
      <c r="Q27" s="68">
        <f t="shared" si="5"/>
        <v>0</v>
      </c>
    </row>
    <row r="28" spans="1:17" ht="33.75" customHeight="1">
      <c r="A28" s="138" t="s">
        <v>73</v>
      </c>
      <c r="B28" s="24"/>
      <c r="C28" s="62"/>
      <c r="D28" s="57"/>
      <c r="E28" s="13"/>
      <c r="F28" s="12"/>
      <c r="G28" s="31"/>
      <c r="H28" s="43"/>
      <c r="I28" s="26"/>
      <c r="J28" s="15"/>
      <c r="K28" s="13"/>
      <c r="L28" s="13"/>
      <c r="M28" s="13"/>
      <c r="N28" s="109"/>
      <c r="O28" s="55">
        <f t="shared" si="2"/>
        <v>0</v>
      </c>
      <c r="P28" s="67">
        <f t="shared" ref="P28:P29" si="6">G28-B28</f>
        <v>0</v>
      </c>
      <c r="Q28" s="68">
        <f t="shared" ref="Q28:Q29" si="7">N28-I28</f>
        <v>0</v>
      </c>
    </row>
    <row r="29" spans="1:17" ht="33.75" customHeight="1">
      <c r="A29" s="142" t="s">
        <v>74</v>
      </c>
      <c r="B29" s="24"/>
      <c r="C29" s="62"/>
      <c r="D29" s="57"/>
      <c r="E29" s="13"/>
      <c r="F29" s="12"/>
      <c r="G29" s="31"/>
      <c r="H29" s="43"/>
      <c r="I29" s="26"/>
      <c r="J29" s="15"/>
      <c r="K29" s="13"/>
      <c r="L29" s="13"/>
      <c r="M29" s="13"/>
      <c r="N29" s="108"/>
      <c r="O29" s="55">
        <f t="shared" si="2"/>
        <v>0</v>
      </c>
      <c r="P29" s="67">
        <f t="shared" si="6"/>
        <v>0</v>
      </c>
      <c r="Q29" s="68">
        <f t="shared" si="7"/>
        <v>0</v>
      </c>
    </row>
    <row r="30" spans="1:17" ht="33.75" customHeight="1">
      <c r="A30" s="144" t="s">
        <v>75</v>
      </c>
      <c r="B30" s="24"/>
      <c r="C30" s="62">
        <v>250</v>
      </c>
      <c r="D30" s="57"/>
      <c r="E30" s="13"/>
      <c r="F30" s="12"/>
      <c r="G30" s="31"/>
      <c r="H30" s="43"/>
      <c r="I30" s="26"/>
      <c r="J30" s="15">
        <v>254</v>
      </c>
      <c r="K30" s="13"/>
      <c r="L30" s="13"/>
      <c r="M30" s="13"/>
      <c r="N30" s="109"/>
      <c r="O30" s="55">
        <f t="shared" si="2"/>
        <v>504</v>
      </c>
      <c r="P30" s="67">
        <f t="shared" ref="P30:P33" si="8">G30-B30</f>
        <v>0</v>
      </c>
      <c r="Q30" s="68">
        <f t="shared" ref="Q30:Q33" si="9">N30-I30</f>
        <v>0</v>
      </c>
    </row>
    <row r="31" spans="1:17" ht="33.75" customHeight="1">
      <c r="A31" s="138" t="s">
        <v>77</v>
      </c>
      <c r="B31" s="24"/>
      <c r="C31" s="62"/>
      <c r="D31" s="57"/>
      <c r="E31" s="13"/>
      <c r="F31" s="12"/>
      <c r="G31" s="31"/>
      <c r="H31" s="43"/>
      <c r="I31" s="26"/>
      <c r="J31" s="15"/>
      <c r="K31" s="13"/>
      <c r="L31" s="13"/>
      <c r="M31" s="13"/>
      <c r="N31" s="108"/>
      <c r="O31" s="55">
        <f t="shared" si="2"/>
        <v>0</v>
      </c>
      <c r="P31" s="67">
        <f t="shared" si="8"/>
        <v>0</v>
      </c>
      <c r="Q31" s="68">
        <f t="shared" si="9"/>
        <v>0</v>
      </c>
    </row>
    <row r="32" spans="1:17" ht="33.75" customHeight="1">
      <c r="A32" s="138" t="s">
        <v>78</v>
      </c>
      <c r="B32" s="24"/>
      <c r="C32" s="62"/>
      <c r="D32" s="57"/>
      <c r="E32" s="13"/>
      <c r="F32" s="12"/>
      <c r="G32" s="31"/>
      <c r="H32" s="43"/>
      <c r="I32" s="26"/>
      <c r="J32" s="15"/>
      <c r="K32" s="13"/>
      <c r="L32" s="13"/>
      <c r="M32" s="13"/>
      <c r="N32" s="109"/>
      <c r="O32" s="55">
        <f t="shared" si="2"/>
        <v>0</v>
      </c>
      <c r="P32" s="67">
        <f t="shared" si="8"/>
        <v>0</v>
      </c>
      <c r="Q32" s="68">
        <f t="shared" si="9"/>
        <v>0</v>
      </c>
    </row>
    <row r="33" spans="1:21" ht="33.75" customHeight="1">
      <c r="A33" s="138" t="s">
        <v>79</v>
      </c>
      <c r="B33" s="24">
        <v>9378</v>
      </c>
      <c r="C33" s="62">
        <v>246</v>
      </c>
      <c r="D33" s="57" t="s">
        <v>83</v>
      </c>
      <c r="E33" s="13" t="s">
        <v>81</v>
      </c>
      <c r="F33" s="12" t="s">
        <v>82</v>
      </c>
      <c r="G33" s="31"/>
      <c r="H33" s="43"/>
      <c r="I33" s="26">
        <v>9384</v>
      </c>
      <c r="J33" s="14">
        <v>146</v>
      </c>
      <c r="K33" s="12" t="s">
        <v>91</v>
      </c>
      <c r="L33" s="12" t="s">
        <v>89</v>
      </c>
      <c r="M33" s="12" t="s">
        <v>90</v>
      </c>
      <c r="N33" s="108"/>
      <c r="O33" s="55">
        <f t="shared" si="2"/>
        <v>392</v>
      </c>
      <c r="P33" s="67">
        <f t="shared" si="8"/>
        <v>-9378</v>
      </c>
      <c r="Q33" s="68">
        <f t="shared" si="9"/>
        <v>-9384</v>
      </c>
    </row>
    <row r="34" spans="1:21" ht="33.75" customHeight="1" thickBot="1">
      <c r="A34" s="143" t="s">
        <v>103</v>
      </c>
      <c r="B34" s="64"/>
      <c r="C34" s="64"/>
      <c r="D34" s="74"/>
      <c r="E34" s="19"/>
      <c r="F34" s="17"/>
      <c r="G34" s="31"/>
      <c r="H34" s="44"/>
      <c r="I34" s="26"/>
      <c r="J34" s="16"/>
      <c r="K34" s="12"/>
      <c r="L34" s="12"/>
      <c r="M34" s="12"/>
      <c r="N34" s="110"/>
      <c r="O34" s="105"/>
      <c r="P34" s="67">
        <f t="shared" si="4"/>
        <v>0</v>
      </c>
      <c r="Q34" s="68">
        <f t="shared" si="5"/>
        <v>0</v>
      </c>
    </row>
    <row r="35" spans="1:21" ht="39" customHeight="1" thickBot="1">
      <c r="A35" s="83" t="s">
        <v>0</v>
      </c>
      <c r="B35" s="11"/>
      <c r="C35" s="58">
        <f>SUM(C7:C34)</f>
        <v>1063</v>
      </c>
      <c r="D35" s="10"/>
      <c r="E35" s="11"/>
      <c r="F35" s="11"/>
      <c r="G35" s="11"/>
      <c r="H35" s="11"/>
      <c r="I35" s="11"/>
      <c r="J35" s="59">
        <f>SUM(J7:J34)</f>
        <v>490</v>
      </c>
      <c r="K35" s="50"/>
      <c r="L35" s="50"/>
      <c r="M35" s="49"/>
      <c r="N35" s="49"/>
      <c r="O35" s="85">
        <f>C35+J35</f>
        <v>1553</v>
      </c>
      <c r="P35" s="66"/>
      <c r="Q35" s="42"/>
    </row>
    <row r="36" spans="1:21">
      <c r="A36" s="153"/>
      <c r="B36" s="153"/>
      <c r="C36" s="153"/>
      <c r="D36" s="153"/>
      <c r="G36" s="157"/>
      <c r="H36" s="157"/>
      <c r="I36" s="157"/>
      <c r="J36" s="157"/>
      <c r="K36" s="157"/>
      <c r="L36" s="157"/>
      <c r="M36" s="157"/>
      <c r="O36" s="157"/>
      <c r="P36" s="157"/>
      <c r="Q36" s="157"/>
    </row>
    <row r="37" spans="1:21">
      <c r="A37" s="152"/>
      <c r="B37" s="152"/>
      <c r="C37" s="152"/>
      <c r="D37" s="152"/>
      <c r="G37" s="152"/>
      <c r="H37" s="152"/>
      <c r="I37" s="152"/>
      <c r="J37" s="152"/>
      <c r="K37" s="152"/>
      <c r="L37" s="152"/>
      <c r="M37" s="152"/>
      <c r="N37" s="11"/>
      <c r="O37" s="152"/>
      <c r="P37" s="152"/>
      <c r="Q37" s="152"/>
    </row>
    <row r="38" spans="1:21">
      <c r="A38" s="151" t="s">
        <v>24</v>
      </c>
      <c r="B38" s="151"/>
      <c r="C38" s="151"/>
      <c r="D38" s="151"/>
      <c r="G38" s="151" t="s">
        <v>29</v>
      </c>
      <c r="H38" s="151"/>
      <c r="I38" s="151"/>
      <c r="J38" s="151"/>
      <c r="K38" s="151"/>
      <c r="L38" s="151"/>
      <c r="M38" s="151"/>
      <c r="O38" s="151" t="s">
        <v>30</v>
      </c>
      <c r="P38" s="151"/>
      <c r="Q38" s="151"/>
    </row>
    <row r="39" spans="1:21" hidden="1">
      <c r="P39" s="158"/>
      <c r="Q39" s="159"/>
      <c r="R39" s="158"/>
      <c r="S39" s="159"/>
      <c r="T39" s="158"/>
      <c r="U39" s="159"/>
    </row>
    <row r="40" spans="1:21" hidden="1">
      <c r="P40" s="154">
        <v>44237</v>
      </c>
      <c r="Q40" s="155"/>
      <c r="R40" s="156">
        <v>44244</v>
      </c>
      <c r="S40" s="155"/>
      <c r="T40" s="156">
        <v>44251</v>
      </c>
      <c r="U40" s="155"/>
    </row>
    <row r="41" spans="1:21" hidden="1">
      <c r="O41" s="1" t="s">
        <v>6</v>
      </c>
      <c r="P41" s="2" t="s">
        <v>7</v>
      </c>
      <c r="Q41" s="2" t="s">
        <v>8</v>
      </c>
      <c r="R41" s="2" t="s">
        <v>7</v>
      </c>
      <c r="S41" s="2" t="s">
        <v>8</v>
      </c>
      <c r="T41" s="2" t="s">
        <v>7</v>
      </c>
      <c r="U41" s="2" t="s">
        <v>8</v>
      </c>
    </row>
    <row r="42" spans="1:21" hidden="1">
      <c r="O42" s="3" t="s">
        <v>9</v>
      </c>
      <c r="P42" s="5">
        <v>3</v>
      </c>
      <c r="Q42" s="5"/>
      <c r="R42" s="6">
        <v>2</v>
      </c>
      <c r="S42" s="6">
        <v>140</v>
      </c>
      <c r="T42" s="4">
        <v>0</v>
      </c>
      <c r="U42" s="4">
        <v>155</v>
      </c>
    </row>
    <row r="43" spans="1:21" hidden="1">
      <c r="O43" s="3" t="s">
        <v>10</v>
      </c>
      <c r="P43" s="5">
        <v>3</v>
      </c>
      <c r="Q43" s="5">
        <v>70</v>
      </c>
      <c r="R43" s="6">
        <v>2</v>
      </c>
      <c r="S43" s="6">
        <v>182</v>
      </c>
      <c r="T43" s="4">
        <v>2</v>
      </c>
      <c r="U43" s="4">
        <v>170</v>
      </c>
    </row>
    <row r="44" spans="1:21" hidden="1">
      <c r="O44" s="3" t="s">
        <v>11</v>
      </c>
      <c r="P44" s="5">
        <v>1</v>
      </c>
      <c r="Q44" s="5">
        <v>137</v>
      </c>
      <c r="R44" s="6">
        <v>1</v>
      </c>
      <c r="S44" s="6">
        <v>137</v>
      </c>
      <c r="T44" s="4">
        <v>1</v>
      </c>
      <c r="U44" s="4">
        <v>160</v>
      </c>
    </row>
    <row r="45" spans="1:21" hidden="1">
      <c r="O45" s="3" t="s">
        <v>12</v>
      </c>
      <c r="P45" s="5">
        <v>2</v>
      </c>
      <c r="Q45" s="5">
        <v>117</v>
      </c>
      <c r="R45" s="6">
        <v>2</v>
      </c>
      <c r="S45" s="6">
        <v>27</v>
      </c>
      <c r="T45" s="4">
        <v>1</v>
      </c>
      <c r="U45" s="4">
        <v>150</v>
      </c>
    </row>
    <row r="46" spans="1:21" hidden="1">
      <c r="O46" s="3" t="s">
        <v>13</v>
      </c>
      <c r="P46" s="5">
        <v>1</v>
      </c>
      <c r="Q46" s="5">
        <v>17</v>
      </c>
      <c r="R46" s="6">
        <v>1</v>
      </c>
      <c r="S46" s="6">
        <v>0</v>
      </c>
      <c r="T46" s="4">
        <v>0</v>
      </c>
      <c r="U46" s="4">
        <v>0</v>
      </c>
    </row>
    <row r="47" spans="1:21" hidden="1">
      <c r="O47" s="3" t="s">
        <v>14</v>
      </c>
      <c r="P47" s="5">
        <v>1</v>
      </c>
      <c r="Q47" s="5">
        <v>36</v>
      </c>
      <c r="R47" s="6">
        <v>1</v>
      </c>
      <c r="S47" s="6">
        <v>0</v>
      </c>
      <c r="T47" s="4">
        <v>1</v>
      </c>
      <c r="U47" s="4">
        <v>77</v>
      </c>
    </row>
    <row r="48" spans="1:21" hidden="1">
      <c r="O48" s="3" t="s">
        <v>15</v>
      </c>
      <c r="P48" s="5"/>
      <c r="Q48" s="5">
        <v>76</v>
      </c>
      <c r="R48" s="6"/>
      <c r="S48" s="6">
        <v>76</v>
      </c>
      <c r="T48" s="4">
        <v>1</v>
      </c>
      <c r="U48" s="4">
        <v>22.5</v>
      </c>
    </row>
    <row r="49" spans="15:21" hidden="1">
      <c r="O49" s="3" t="s">
        <v>16</v>
      </c>
      <c r="P49" s="5">
        <v>1</v>
      </c>
      <c r="Q49" s="5">
        <v>22</v>
      </c>
      <c r="R49" s="6">
        <v>1</v>
      </c>
      <c r="S49" s="6">
        <v>0</v>
      </c>
      <c r="T49" s="4">
        <v>0</v>
      </c>
      <c r="U49" s="4">
        <v>165.5</v>
      </c>
    </row>
    <row r="50" spans="15:21" hidden="1">
      <c r="O50" s="3" t="s">
        <v>17</v>
      </c>
      <c r="P50" s="5">
        <v>1</v>
      </c>
      <c r="Q50" s="5" t="s">
        <v>18</v>
      </c>
      <c r="R50" s="6">
        <v>0.5</v>
      </c>
      <c r="S50" s="6" t="s">
        <v>19</v>
      </c>
      <c r="T50" s="4">
        <v>80</v>
      </c>
      <c r="U50" s="4" t="s">
        <v>20</v>
      </c>
    </row>
    <row r="51" spans="15:21" hidden="1">
      <c r="O51" s="7"/>
      <c r="P51" s="7"/>
      <c r="Q51" s="7"/>
      <c r="R51" s="7"/>
      <c r="S51" s="7"/>
      <c r="T51" s="7"/>
      <c r="U51" s="7"/>
    </row>
  </sheetData>
  <mergeCells count="26">
    <mergeCell ref="P2:P3"/>
    <mergeCell ref="Q2:Q3"/>
    <mergeCell ref="A4:A6"/>
    <mergeCell ref="B4:G5"/>
    <mergeCell ref="O4:O5"/>
    <mergeCell ref="I4:N5"/>
    <mergeCell ref="H4:H6"/>
    <mergeCell ref="A1:A3"/>
    <mergeCell ref="O2:O3"/>
    <mergeCell ref="B1:D1"/>
    <mergeCell ref="E1:N3"/>
    <mergeCell ref="T40:U40"/>
    <mergeCell ref="G38:M38"/>
    <mergeCell ref="O38:Q38"/>
    <mergeCell ref="P39:Q39"/>
    <mergeCell ref="R39:S39"/>
    <mergeCell ref="T39:U39"/>
    <mergeCell ref="A38:D38"/>
    <mergeCell ref="A37:D37"/>
    <mergeCell ref="A36:D36"/>
    <mergeCell ref="P40:Q40"/>
    <mergeCell ref="R40:S40"/>
    <mergeCell ref="G36:M36"/>
    <mergeCell ref="O36:Q36"/>
    <mergeCell ref="G37:M37"/>
    <mergeCell ref="O37:Q37"/>
  </mergeCells>
  <conditionalFormatting sqref="O34">
    <cfRule type="containsText" dxfId="121" priority="10" operator="containsText" text="NO TRABAJO">
      <formula>NOT(ISERROR(SEARCH("NO TRABAJO",O34)))</formula>
    </cfRule>
    <cfRule type="containsText" dxfId="120" priority="11" operator="containsText" text="FUERA DE SERVICIO">
      <formula>NOT(ISERROR(SEARCH("FUERA DE SERVICIO",O34)))</formula>
    </cfRule>
    <cfRule type="containsText" dxfId="119" priority="12" operator="containsText" text="EN SERVICIO">
      <formula>NOT(ISERROR(SEARCH("EN SERVICIO",O34)))</formula>
    </cfRule>
  </conditionalFormatting>
  <conditionalFormatting sqref="O7:O33">
    <cfRule type="containsText" dxfId="118" priority="1" operator="containsText" text="NO TRABAJO">
      <formula>NOT(ISERROR(SEARCH("NO TRABAJO",O7)))</formula>
    </cfRule>
    <cfRule type="containsText" dxfId="117" priority="2" operator="containsText" text="FUERA DE SERVICIO">
      <formula>NOT(ISERROR(SEARCH("FUERA DE SERVICIO",O7)))</formula>
    </cfRule>
    <cfRule type="containsText" dxfId="116" priority="3" operator="containsText" text="EN SERVICIO">
      <formula>NOT(ISERROR(SEARCH("EN SERVICIO",O7)))</formula>
    </cfRule>
  </conditionalFormatting>
  <pageMargins left="0.25" right="0.25" top="0.75" bottom="0.75" header="0.3" footer="0.3"/>
  <pageSetup scale="43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258F-5B0A-4CBD-B3E8-A1BB8FCFF30D}">
  <sheetPr>
    <pageSetUpPr fitToPage="1"/>
  </sheetPr>
  <dimension ref="A1:U56"/>
  <sheetViews>
    <sheetView showGridLines="0" view="pageBreakPreview" zoomScale="50" zoomScaleNormal="100" zoomScaleSheetLayoutView="50" workbookViewId="0">
      <selection activeCell="O7" sqref="O7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01'!Q2+O2</f>
        <v>11756</v>
      </c>
      <c r="Q2" s="160">
        <f>P2-O35</f>
        <v>10038</v>
      </c>
    </row>
    <row r="3" spans="1:17" ht="18.600000000000001" thickBot="1">
      <c r="A3" s="157"/>
      <c r="B3" s="81"/>
      <c r="C3" s="82"/>
      <c r="D3" s="86"/>
      <c r="E3" s="185"/>
      <c r="F3" s="185"/>
      <c r="G3" s="185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70"/>
      <c r="P4" s="77"/>
      <c r="Q4" s="78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0"/>
      <c r="P5" s="79"/>
      <c r="Q5" s="80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01'!O6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01'!A7</f>
        <v>ST-031 (EPIROC 1030)</v>
      </c>
      <c r="B7" s="24"/>
      <c r="C7" s="60"/>
      <c r="D7" s="71"/>
      <c r="E7" s="12"/>
      <c r="F7" s="12"/>
      <c r="G7" s="25"/>
      <c r="H7" s="42"/>
      <c r="I7" s="26">
        <v>4855.1000000000004</v>
      </c>
      <c r="J7" s="16">
        <v>115</v>
      </c>
      <c r="K7" s="12" t="s">
        <v>88</v>
      </c>
      <c r="L7" s="12" t="s">
        <v>89</v>
      </c>
      <c r="M7" s="12" t="s">
        <v>90</v>
      </c>
      <c r="N7" s="37"/>
      <c r="O7" s="55">
        <f>C7+J7</f>
        <v>115</v>
      </c>
      <c r="P7" s="67">
        <f t="shared" ref="P7:P19" si="1">G7-B7</f>
        <v>0</v>
      </c>
      <c r="Q7" s="68">
        <f t="shared" ref="Q7:Q19" si="2">N7-I7</f>
        <v>-4855.1000000000004</v>
      </c>
    </row>
    <row r="8" spans="1:17" ht="33.75" customHeight="1">
      <c r="A8" s="84" t="str">
        <f>'DIA 01'!A8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19" si="3">C8+J8</f>
        <v>0</v>
      </c>
      <c r="P8" s="67">
        <f t="shared" si="1"/>
        <v>0</v>
      </c>
      <c r="Q8" s="68">
        <f t="shared" si="2"/>
        <v>0</v>
      </c>
    </row>
    <row r="9" spans="1:17" ht="33.75" customHeight="1">
      <c r="A9" s="84" t="str">
        <f>'DIA 01'!A9</f>
        <v>ST-036 R1300</v>
      </c>
      <c r="B9" s="24">
        <v>8926</v>
      </c>
      <c r="C9" s="61">
        <v>270</v>
      </c>
      <c r="D9" s="72" t="s">
        <v>82</v>
      </c>
      <c r="E9" s="12" t="s">
        <v>81</v>
      </c>
      <c r="F9" s="12" t="s">
        <v>82</v>
      </c>
      <c r="G9" s="27"/>
      <c r="H9" s="42"/>
      <c r="I9" s="26"/>
      <c r="J9" s="14">
        <v>90</v>
      </c>
      <c r="K9" s="12" t="s">
        <v>88</v>
      </c>
      <c r="L9" s="12" t="s">
        <v>89</v>
      </c>
      <c r="M9" s="12" t="s">
        <v>90</v>
      </c>
      <c r="N9" s="37"/>
      <c r="O9" s="55">
        <f t="shared" si="3"/>
        <v>360</v>
      </c>
      <c r="P9" s="67">
        <f t="shared" si="1"/>
        <v>-8926</v>
      </c>
      <c r="Q9" s="68">
        <f t="shared" si="2"/>
        <v>0</v>
      </c>
    </row>
    <row r="10" spans="1:17" ht="33.75" customHeight="1">
      <c r="A10" s="84" t="str">
        <f>'DIA 01'!A10</f>
        <v>ST-018</v>
      </c>
      <c r="B10" s="24"/>
      <c r="C10" s="61"/>
      <c r="D10" s="72"/>
      <c r="E10" s="12"/>
      <c r="F10" s="12"/>
      <c r="G10" s="27"/>
      <c r="H10" s="42"/>
      <c r="I10" s="26">
        <v>95795</v>
      </c>
      <c r="J10" s="14">
        <v>146</v>
      </c>
      <c r="K10" s="12" t="s">
        <v>88</v>
      </c>
      <c r="L10" s="12" t="s">
        <v>89</v>
      </c>
      <c r="M10" s="12" t="s">
        <v>90</v>
      </c>
      <c r="N10" s="37"/>
      <c r="O10" s="55">
        <f t="shared" si="3"/>
        <v>146</v>
      </c>
      <c r="P10" s="67">
        <f t="shared" si="1"/>
        <v>0</v>
      </c>
      <c r="Q10" s="68">
        <f t="shared" si="2"/>
        <v>-95795</v>
      </c>
    </row>
    <row r="11" spans="1:17" ht="33.75" customHeight="1">
      <c r="A11" s="84" t="str">
        <f>'DIA 01'!A11</f>
        <v>ST-034 KOMATSU</v>
      </c>
      <c r="B11" s="24"/>
      <c r="C11" s="61"/>
      <c r="D11" s="72"/>
      <c r="E11" s="12"/>
      <c r="F11" s="12"/>
      <c r="G11" s="25"/>
      <c r="H11" s="42"/>
      <c r="I11" s="26"/>
      <c r="J11" s="14"/>
      <c r="K11" s="12"/>
      <c r="L11" s="12"/>
      <c r="M11" s="12"/>
      <c r="N11" s="37"/>
      <c r="O11" s="55">
        <f t="shared" si="3"/>
        <v>0</v>
      </c>
      <c r="P11" s="67">
        <f t="shared" si="1"/>
        <v>0</v>
      </c>
      <c r="Q11" s="68">
        <f t="shared" si="2"/>
        <v>0</v>
      </c>
    </row>
    <row r="12" spans="1:17" ht="33.75" customHeight="1">
      <c r="A12" s="84" t="str">
        <f>'DIA 01'!A12</f>
        <v>JL-015 (DD311)</v>
      </c>
      <c r="B12" s="24"/>
      <c r="C12" s="60"/>
      <c r="D12" s="71"/>
      <c r="E12" s="12"/>
      <c r="F12" s="12"/>
      <c r="G12" s="25"/>
      <c r="H12" s="42"/>
      <c r="I12" s="26"/>
      <c r="J12" s="16"/>
      <c r="K12" s="12"/>
      <c r="L12" s="12"/>
      <c r="M12" s="12"/>
      <c r="N12" s="37"/>
      <c r="O12" s="55">
        <f t="shared" si="3"/>
        <v>0</v>
      </c>
      <c r="P12" s="67">
        <f t="shared" si="1"/>
        <v>0</v>
      </c>
      <c r="Q12" s="68">
        <f t="shared" si="2"/>
        <v>0</v>
      </c>
    </row>
    <row r="13" spans="1:17" ht="33.75" customHeight="1">
      <c r="A13" s="84" t="str">
        <f>'DIA 01'!A13</f>
        <v>JL-019</v>
      </c>
      <c r="B13" s="24"/>
      <c r="C13" s="60"/>
      <c r="D13" s="71"/>
      <c r="E13" s="12"/>
      <c r="F13" s="12"/>
      <c r="G13" s="25"/>
      <c r="H13" s="42"/>
      <c r="I13" s="26"/>
      <c r="J13" s="16"/>
      <c r="K13" s="12"/>
      <c r="L13" s="12"/>
      <c r="M13" s="12"/>
      <c r="N13" s="37"/>
      <c r="O13" s="55">
        <f t="shared" si="3"/>
        <v>0</v>
      </c>
      <c r="P13" s="67">
        <f t="shared" si="1"/>
        <v>0</v>
      </c>
      <c r="Q13" s="68">
        <f t="shared" si="2"/>
        <v>0</v>
      </c>
    </row>
    <row r="14" spans="1:17" ht="33.75" customHeight="1">
      <c r="A14" s="84" t="str">
        <f>'DIA 01'!A14</f>
        <v>JL-024 CANNON</v>
      </c>
      <c r="B14" s="24"/>
      <c r="C14" s="60"/>
      <c r="D14" s="71"/>
      <c r="E14" s="12"/>
      <c r="F14" s="12"/>
      <c r="G14" s="25"/>
      <c r="H14" s="42"/>
      <c r="I14" s="26"/>
      <c r="J14" s="16"/>
      <c r="K14" s="12"/>
      <c r="L14" s="12"/>
      <c r="M14" s="12"/>
      <c r="N14" s="37"/>
      <c r="O14" s="55">
        <f t="shared" si="3"/>
        <v>0</v>
      </c>
      <c r="P14" s="67">
        <f t="shared" si="1"/>
        <v>0</v>
      </c>
      <c r="Q14" s="68">
        <f t="shared" si="2"/>
        <v>0</v>
      </c>
    </row>
    <row r="15" spans="1:17" ht="33.75" customHeight="1">
      <c r="A15" s="84" t="str">
        <f>'DIA 01'!A15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6"/>
      <c r="K15" s="17"/>
      <c r="L15" s="17"/>
      <c r="M15" s="17"/>
      <c r="N15" s="37"/>
      <c r="O15" s="55">
        <f t="shared" si="3"/>
        <v>0</v>
      </c>
      <c r="P15" s="67">
        <f t="shared" si="1"/>
        <v>0</v>
      </c>
      <c r="Q15" s="68">
        <f t="shared" si="2"/>
        <v>0</v>
      </c>
    </row>
    <row r="16" spans="1:17" ht="33.75" customHeight="1">
      <c r="A16" s="84" t="str">
        <f>'DIA 01'!A16</f>
        <v>JA-004 CANNON</v>
      </c>
      <c r="B16" s="24"/>
      <c r="C16" s="60"/>
      <c r="D16" s="71"/>
      <c r="E16" s="17"/>
      <c r="F16" s="12"/>
      <c r="G16" s="25"/>
      <c r="H16" s="42"/>
      <c r="I16" s="26"/>
      <c r="J16" s="16"/>
      <c r="K16" s="13"/>
      <c r="L16" s="13"/>
      <c r="M16" s="13"/>
      <c r="N16" s="41"/>
      <c r="O16" s="55">
        <f t="shared" si="3"/>
        <v>0</v>
      </c>
      <c r="P16" s="67">
        <f t="shared" si="1"/>
        <v>0</v>
      </c>
      <c r="Q16" s="68">
        <f t="shared" si="2"/>
        <v>0</v>
      </c>
    </row>
    <row r="17" spans="1:17" ht="33.75" customHeight="1">
      <c r="A17" s="84" t="str">
        <f>'DIA 01'!A17</f>
        <v>RE-009 (RETROEXCAVADORA)</v>
      </c>
      <c r="B17" s="24">
        <v>6580.5</v>
      </c>
      <c r="C17" s="62">
        <v>63</v>
      </c>
      <c r="D17" s="57" t="s">
        <v>92</v>
      </c>
      <c r="E17" s="13" t="s">
        <v>81</v>
      </c>
      <c r="F17" s="12" t="s">
        <v>82</v>
      </c>
      <c r="G17" s="28"/>
      <c r="H17" s="42"/>
      <c r="I17" s="26"/>
      <c r="J17" s="15"/>
      <c r="K17" s="13"/>
      <c r="L17" s="13"/>
      <c r="M17" s="13"/>
      <c r="N17" s="38"/>
      <c r="O17" s="55">
        <f t="shared" si="3"/>
        <v>63</v>
      </c>
      <c r="P17" s="67">
        <f t="shared" si="1"/>
        <v>-6580.5</v>
      </c>
      <c r="Q17" s="68">
        <f t="shared" si="2"/>
        <v>0</v>
      </c>
    </row>
    <row r="18" spans="1:17" ht="33.75" customHeight="1">
      <c r="A18" s="84" t="str">
        <f>'DIA 01'!A18</f>
        <v>RE-010 (RETROEXCAVADORA)</v>
      </c>
      <c r="B18" s="24"/>
      <c r="C18" s="62"/>
      <c r="D18" s="57"/>
      <c r="E18" s="13"/>
      <c r="F18" s="12"/>
      <c r="G18" s="28"/>
      <c r="H18" s="42"/>
      <c r="I18" s="26"/>
      <c r="J18" s="15"/>
      <c r="K18" s="13"/>
      <c r="L18" s="13"/>
      <c r="M18" s="13"/>
      <c r="N18" s="37"/>
      <c r="O18" s="55">
        <f t="shared" si="3"/>
        <v>0</v>
      </c>
      <c r="P18" s="67">
        <f t="shared" si="1"/>
        <v>0</v>
      </c>
      <c r="Q18" s="68">
        <f t="shared" si="2"/>
        <v>0</v>
      </c>
    </row>
    <row r="19" spans="1:17" ht="33.75" customHeight="1">
      <c r="A19" s="84" t="str">
        <f>'DIA 01'!A19</f>
        <v>ZN</v>
      </c>
      <c r="B19" s="24"/>
      <c r="C19" s="62"/>
      <c r="D19" s="57"/>
      <c r="E19" s="13"/>
      <c r="F19" s="12"/>
      <c r="G19" s="28"/>
      <c r="H19" s="42"/>
      <c r="I19" s="26"/>
      <c r="J19" s="16"/>
      <c r="K19" s="17"/>
      <c r="L19" s="17"/>
      <c r="M19" s="17"/>
      <c r="N19" s="17"/>
      <c r="O19" s="55">
        <f t="shared" si="3"/>
        <v>0</v>
      </c>
      <c r="P19" s="67">
        <f t="shared" si="1"/>
        <v>0</v>
      </c>
      <c r="Q19" s="68">
        <f t="shared" si="2"/>
        <v>0</v>
      </c>
    </row>
    <row r="20" spans="1:17" ht="33.75" customHeight="1">
      <c r="A20" s="84" t="str">
        <f>'DIA 01'!A20</f>
        <v>CBP-001 (BAJO PERFIL)</v>
      </c>
      <c r="B20" s="24"/>
      <c r="C20" s="62"/>
      <c r="D20" s="57"/>
      <c r="E20" s="13"/>
      <c r="F20" s="12"/>
      <c r="G20" s="28"/>
      <c r="H20" s="42"/>
      <c r="I20" s="26"/>
      <c r="J20" s="16"/>
      <c r="K20" s="17"/>
      <c r="L20" s="17"/>
      <c r="M20" s="17"/>
      <c r="N20" s="17"/>
      <c r="O20" s="55">
        <f t="shared" ref="O20:O27" si="4">C20+J20</f>
        <v>0</v>
      </c>
      <c r="P20" s="67">
        <f t="shared" ref="P20:P27" si="5">G20-B20</f>
        <v>0</v>
      </c>
      <c r="Q20" s="68">
        <f t="shared" ref="Q20:Q27" si="6">N20-I20</f>
        <v>0</v>
      </c>
    </row>
    <row r="21" spans="1:17" ht="33.75" customHeight="1">
      <c r="A21" s="84" t="str">
        <f>'DIA 01'!A21</f>
        <v>MG-105</v>
      </c>
      <c r="B21" s="24"/>
      <c r="C21" s="62"/>
      <c r="D21" s="57"/>
      <c r="E21" s="13"/>
      <c r="F21" s="12"/>
      <c r="G21" s="28"/>
      <c r="H21" s="42"/>
      <c r="I21" s="26"/>
      <c r="J21" s="16"/>
      <c r="K21" s="17"/>
      <c r="L21" s="17"/>
      <c r="M21" s="17"/>
      <c r="N21" s="17"/>
      <c r="O21" s="55">
        <f t="shared" si="4"/>
        <v>0</v>
      </c>
      <c r="P21" s="67">
        <f t="shared" si="5"/>
        <v>0</v>
      </c>
      <c r="Q21" s="68">
        <f t="shared" si="6"/>
        <v>0</v>
      </c>
    </row>
    <row r="22" spans="1:17" ht="33.75" customHeight="1">
      <c r="A22" s="84" t="str">
        <f>'DIA 01'!A22</f>
        <v>MG-044</v>
      </c>
      <c r="B22" s="24"/>
      <c r="C22" s="62"/>
      <c r="D22" s="57"/>
      <c r="E22" s="13"/>
      <c r="F22" s="12"/>
      <c r="G22" s="28"/>
      <c r="H22" s="43"/>
      <c r="I22" s="26">
        <v>510466</v>
      </c>
      <c r="J22" s="18">
        <v>76</v>
      </c>
      <c r="K22" s="19" t="s">
        <v>93</v>
      </c>
      <c r="L22" s="19" t="s">
        <v>89</v>
      </c>
      <c r="M22" s="19" t="s">
        <v>90</v>
      </c>
      <c r="N22" s="41"/>
      <c r="O22" s="55">
        <f t="shared" si="4"/>
        <v>76</v>
      </c>
      <c r="P22" s="67">
        <f t="shared" si="5"/>
        <v>0</v>
      </c>
      <c r="Q22" s="68">
        <f t="shared" si="6"/>
        <v>-510466</v>
      </c>
    </row>
    <row r="23" spans="1:17" ht="33.75" customHeight="1">
      <c r="A23" s="84" t="str">
        <f>'DIA 01'!A23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4"/>
        <v>0</v>
      </c>
      <c r="P23" s="67">
        <f t="shared" si="5"/>
        <v>0</v>
      </c>
      <c r="Q23" s="68">
        <f t="shared" si="6"/>
        <v>0</v>
      </c>
    </row>
    <row r="24" spans="1:17" ht="33.75" customHeight="1">
      <c r="A24" s="84" t="str">
        <f>'DIA 01'!A24</f>
        <v>MG-033 (PERSONAL)</v>
      </c>
      <c r="B24" s="24"/>
      <c r="C24" s="61"/>
      <c r="D24" s="72"/>
      <c r="E24" s="12"/>
      <c r="F24" s="12"/>
      <c r="G24" s="27"/>
      <c r="H24" s="42"/>
      <c r="I24" s="26"/>
      <c r="J24" s="16"/>
      <c r="K24" s="17"/>
      <c r="L24" s="17"/>
      <c r="M24" s="17"/>
      <c r="N24" s="37"/>
      <c r="O24" s="55">
        <f t="shared" si="4"/>
        <v>0</v>
      </c>
      <c r="P24" s="67">
        <f t="shared" si="5"/>
        <v>0</v>
      </c>
      <c r="Q24" s="68">
        <f t="shared" si="6"/>
        <v>0</v>
      </c>
    </row>
    <row r="25" spans="1:17" ht="33.75" customHeight="1">
      <c r="A25" s="84" t="str">
        <f>'DIA 01'!A25</f>
        <v>MG-113</v>
      </c>
      <c r="B25" s="24"/>
      <c r="C25" s="60"/>
      <c r="D25" s="71"/>
      <c r="E25" s="17"/>
      <c r="F25" s="12"/>
      <c r="G25" s="25"/>
      <c r="H25" s="42"/>
      <c r="I25" s="26"/>
      <c r="J25" s="16"/>
      <c r="K25" s="13"/>
      <c r="L25" s="13"/>
      <c r="M25" s="13"/>
      <c r="N25" s="41"/>
      <c r="O25" s="55">
        <f t="shared" si="4"/>
        <v>0</v>
      </c>
      <c r="P25" s="67">
        <f t="shared" si="5"/>
        <v>0</v>
      </c>
      <c r="Q25" s="68">
        <f t="shared" si="6"/>
        <v>0</v>
      </c>
    </row>
    <row r="26" spans="1:17" ht="33.75" customHeight="1">
      <c r="A26" s="84" t="str">
        <f>'DIA 01'!A26</f>
        <v>MG-121</v>
      </c>
      <c r="B26" s="24"/>
      <c r="C26" s="62"/>
      <c r="D26" s="57"/>
      <c r="E26" s="13"/>
      <c r="F26" s="12"/>
      <c r="G26" s="28"/>
      <c r="H26" s="42"/>
      <c r="I26" s="26"/>
      <c r="J26" s="15"/>
      <c r="K26" s="13"/>
      <c r="L26" s="13"/>
      <c r="M26" s="13"/>
      <c r="N26" s="38"/>
      <c r="O26" s="55">
        <f t="shared" si="4"/>
        <v>0</v>
      </c>
      <c r="P26" s="67">
        <f t="shared" si="5"/>
        <v>0</v>
      </c>
      <c r="Q26" s="68">
        <f t="shared" si="6"/>
        <v>0</v>
      </c>
    </row>
    <row r="27" spans="1:17" ht="33.75" customHeight="1">
      <c r="A27" s="84" t="str">
        <f>'DIA 01'!A27</f>
        <v>MG-086</v>
      </c>
      <c r="B27" s="24"/>
      <c r="C27" s="62"/>
      <c r="D27" s="57"/>
      <c r="E27" s="13"/>
      <c r="F27" s="12"/>
      <c r="G27" s="28"/>
      <c r="H27" s="42"/>
      <c r="I27" s="26"/>
      <c r="J27" s="15"/>
      <c r="K27" s="13"/>
      <c r="L27" s="13"/>
      <c r="M27" s="13"/>
      <c r="N27" s="37"/>
      <c r="O27" s="55">
        <f t="shared" si="4"/>
        <v>0</v>
      </c>
      <c r="P27" s="67">
        <f t="shared" si="5"/>
        <v>0</v>
      </c>
      <c r="Q27" s="68">
        <f t="shared" si="6"/>
        <v>0</v>
      </c>
    </row>
    <row r="28" spans="1:17" ht="33.75" customHeight="1">
      <c r="A28" s="84" t="str">
        <f>'DIA 01'!A28</f>
        <v>MG-111</v>
      </c>
      <c r="B28" s="24"/>
      <c r="C28" s="62"/>
      <c r="D28" s="57"/>
      <c r="E28" s="13"/>
      <c r="F28" s="12"/>
      <c r="G28" s="28"/>
      <c r="H28" s="42"/>
      <c r="I28" s="26"/>
      <c r="J28" s="15"/>
      <c r="K28" s="13"/>
      <c r="L28" s="13"/>
      <c r="M28" s="13"/>
      <c r="N28" s="107"/>
      <c r="O28" s="55">
        <f t="shared" ref="O28:O34" si="7">C28+J28</f>
        <v>0</v>
      </c>
      <c r="P28" s="67">
        <f t="shared" ref="P28:P34" si="8">G28-B28</f>
        <v>0</v>
      </c>
      <c r="Q28" s="68">
        <f t="shared" ref="Q28:Q34" si="9">N28-I28</f>
        <v>0</v>
      </c>
    </row>
    <row r="29" spans="1:17" ht="33.75" customHeight="1">
      <c r="A29" s="84" t="str">
        <f>'DIA 01'!A29</f>
        <v>MG-120</v>
      </c>
      <c r="B29" s="24"/>
      <c r="C29" s="62"/>
      <c r="D29" s="57"/>
      <c r="E29" s="13"/>
      <c r="F29" s="12"/>
      <c r="G29" s="28"/>
      <c r="H29" s="42"/>
      <c r="I29" s="26"/>
      <c r="J29" s="15"/>
      <c r="K29" s="13"/>
      <c r="L29" s="13"/>
      <c r="M29" s="13"/>
      <c r="N29" s="107"/>
      <c r="O29" s="55">
        <f t="shared" si="7"/>
        <v>0</v>
      </c>
      <c r="P29" s="67">
        <f t="shared" si="8"/>
        <v>0</v>
      </c>
      <c r="Q29" s="68">
        <f t="shared" si="9"/>
        <v>0</v>
      </c>
    </row>
    <row r="30" spans="1:17" ht="33.75" customHeight="1">
      <c r="A30" s="84" t="str">
        <f>'DIA 01'!A30</f>
        <v>PROSERMIN</v>
      </c>
      <c r="B30" s="24"/>
      <c r="C30" s="62">
        <v>260</v>
      </c>
      <c r="D30" s="57"/>
      <c r="E30" s="13"/>
      <c r="F30" s="12"/>
      <c r="G30" s="28"/>
      <c r="H30" s="42"/>
      <c r="I30" s="26"/>
      <c r="J30" s="15">
        <v>286</v>
      </c>
      <c r="K30" s="13"/>
      <c r="L30" s="13"/>
      <c r="M30" s="13"/>
      <c r="N30" s="107"/>
      <c r="O30" s="55">
        <f t="shared" si="7"/>
        <v>546</v>
      </c>
      <c r="P30" s="67">
        <f t="shared" si="8"/>
        <v>0</v>
      </c>
      <c r="Q30" s="68">
        <f t="shared" si="9"/>
        <v>0</v>
      </c>
    </row>
    <row r="31" spans="1:17" ht="33.75" customHeight="1">
      <c r="A31" s="84" t="str">
        <f>'DIA 01'!A31</f>
        <v>ST-060</v>
      </c>
      <c r="B31" s="24"/>
      <c r="C31" s="62"/>
      <c r="D31" s="57"/>
      <c r="E31" s="13"/>
      <c r="F31" s="12"/>
      <c r="G31" s="28"/>
      <c r="H31" s="42"/>
      <c r="I31" s="26"/>
      <c r="J31" s="15"/>
      <c r="K31" s="13"/>
      <c r="L31" s="13"/>
      <c r="M31" s="13"/>
      <c r="N31" s="107"/>
      <c r="O31" s="55">
        <f t="shared" si="7"/>
        <v>0</v>
      </c>
      <c r="P31" s="67">
        <f t="shared" si="8"/>
        <v>0</v>
      </c>
      <c r="Q31" s="68">
        <f t="shared" si="9"/>
        <v>0</v>
      </c>
    </row>
    <row r="32" spans="1:17" ht="33.75" customHeight="1">
      <c r="A32" s="84" t="str">
        <f>'DIA 01'!A32</f>
        <v>ST-53</v>
      </c>
      <c r="B32" s="24"/>
      <c r="C32" s="62"/>
      <c r="D32" s="57"/>
      <c r="E32" s="13"/>
      <c r="F32" s="12"/>
      <c r="G32" s="28"/>
      <c r="H32" s="42"/>
      <c r="I32" s="26"/>
      <c r="J32" s="15"/>
      <c r="K32" s="13"/>
      <c r="L32" s="13"/>
      <c r="M32" s="13"/>
      <c r="N32" s="107"/>
      <c r="O32" s="55">
        <f t="shared" si="7"/>
        <v>0</v>
      </c>
      <c r="P32" s="67">
        <f t="shared" si="8"/>
        <v>0</v>
      </c>
      <c r="Q32" s="68">
        <f t="shared" si="9"/>
        <v>0</v>
      </c>
    </row>
    <row r="33" spans="1:21" ht="33.75" customHeight="1">
      <c r="A33" s="84" t="str">
        <f>'DIA 01'!A33</f>
        <v>ST-039</v>
      </c>
      <c r="B33" s="24">
        <v>9393.2000000000007</v>
      </c>
      <c r="C33" s="62">
        <v>217</v>
      </c>
      <c r="D33" s="57" t="s">
        <v>83</v>
      </c>
      <c r="E33" s="13" t="s">
        <v>81</v>
      </c>
      <c r="F33" s="12" t="s">
        <v>82</v>
      </c>
      <c r="G33" s="28"/>
      <c r="H33" s="42"/>
      <c r="I33" s="26">
        <v>9404</v>
      </c>
      <c r="J33" s="15">
        <v>195</v>
      </c>
      <c r="K33" s="13" t="s">
        <v>91</v>
      </c>
      <c r="L33" s="13" t="s">
        <v>89</v>
      </c>
      <c r="M33" s="13" t="s">
        <v>90</v>
      </c>
      <c r="N33" s="107"/>
      <c r="O33" s="55">
        <f t="shared" si="7"/>
        <v>412</v>
      </c>
      <c r="P33" s="67">
        <f t="shared" si="8"/>
        <v>-9393.2000000000007</v>
      </c>
      <c r="Q33" s="68">
        <f t="shared" si="9"/>
        <v>-9404</v>
      </c>
    </row>
    <row r="34" spans="1:21" ht="33.75" customHeight="1" thickBot="1">
      <c r="A34" s="84" t="str">
        <f>'DIA 01'!A34</f>
        <v>JL-025</v>
      </c>
      <c r="B34" s="24"/>
      <c r="C34" s="62"/>
      <c r="D34" s="57"/>
      <c r="E34" s="13"/>
      <c r="F34" s="17"/>
      <c r="G34" s="28"/>
      <c r="H34" s="42"/>
      <c r="I34" s="26"/>
      <c r="J34" s="16"/>
      <c r="K34" s="17"/>
      <c r="L34" s="17"/>
      <c r="M34" s="17"/>
      <c r="N34" s="17"/>
      <c r="O34" s="55">
        <f t="shared" si="7"/>
        <v>0</v>
      </c>
      <c r="P34" s="67">
        <f t="shared" si="8"/>
        <v>0</v>
      </c>
      <c r="Q34" s="68">
        <f t="shared" si="9"/>
        <v>0</v>
      </c>
    </row>
    <row r="35" spans="1:21" ht="39" customHeight="1" thickBot="1">
      <c r="A35" s="83" t="s">
        <v>0</v>
      </c>
      <c r="B35" s="11"/>
      <c r="C35" s="58">
        <f>SUM(C7:C34)</f>
        <v>810</v>
      </c>
      <c r="D35" s="10"/>
      <c r="E35" s="11"/>
      <c r="F35" s="11"/>
      <c r="G35" s="11"/>
      <c r="H35" s="11"/>
      <c r="I35" s="11"/>
      <c r="J35" s="59">
        <f>SUM(J7:J34)</f>
        <v>908</v>
      </c>
      <c r="K35" s="50"/>
      <c r="L35" s="50"/>
      <c r="M35" s="49"/>
      <c r="N35" s="49"/>
      <c r="O35" s="85">
        <f>C35+J35</f>
        <v>1718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O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115" priority="4" operator="containsText" text="NO TRABAJO">
      <formula>NOT(ISERROR(SEARCH("NO TRABAJO",O7)))</formula>
    </cfRule>
    <cfRule type="containsText" dxfId="114" priority="5" operator="containsText" text="FUERA DE SERVICIO">
      <formula>NOT(ISERROR(SEARCH("FUERA DE SERVICIO",O7)))</formula>
    </cfRule>
    <cfRule type="containsText" dxfId="113" priority="6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C44F-9057-4961-997A-4D211495FB32}">
  <sheetPr>
    <pageSetUpPr fitToPage="1"/>
  </sheetPr>
  <dimension ref="A1:U56"/>
  <sheetViews>
    <sheetView showGridLines="0" view="pageBreakPreview" zoomScale="50" zoomScaleNormal="100" zoomScaleSheetLayoutView="50" workbookViewId="0">
      <selection activeCell="O30" sqref="O30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>
        <v>2137</v>
      </c>
      <c r="P2" s="187">
        <f>'DIA 02'!Q2+O2</f>
        <v>12175</v>
      </c>
      <c r="Q2" s="160">
        <f>P2-O35</f>
        <v>10367</v>
      </c>
    </row>
    <row r="3" spans="1:17" ht="18.600000000000001" thickBot="1">
      <c r="A3" s="157"/>
      <c r="B3" s="81"/>
      <c r="C3" s="82"/>
      <c r="D3" s="86"/>
      <c r="E3" s="185"/>
      <c r="F3" s="185"/>
      <c r="G3" s="185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91"/>
      <c r="I4" s="164" t="s">
        <v>2</v>
      </c>
      <c r="J4" s="165"/>
      <c r="K4" s="165"/>
      <c r="L4" s="165"/>
      <c r="M4" s="165"/>
      <c r="N4" s="166"/>
      <c r="O4" s="170"/>
      <c r="P4" s="77"/>
      <c r="Q4" s="78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91"/>
      <c r="I5" s="172"/>
      <c r="J5" s="173"/>
      <c r="K5" s="173"/>
      <c r="L5" s="173"/>
      <c r="M5" s="173"/>
      <c r="N5" s="174"/>
      <c r="O5" s="190"/>
      <c r="P5" s="79"/>
      <c r="Q5" s="80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91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02'!O6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02'!A7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C7+J7</f>
        <v>0</v>
      </c>
      <c r="P7" s="67">
        <f t="shared" ref="P7:P20" si="1">G7-B7</f>
        <v>0</v>
      </c>
      <c r="Q7" s="68">
        <f t="shared" ref="Q7:Q20" si="2">N7-I7</f>
        <v>0</v>
      </c>
    </row>
    <row r="8" spans="1:17" ht="33.75" customHeight="1">
      <c r="A8" s="84" t="str">
        <f>'DIA 02'!A8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34" si="3">C8+J8</f>
        <v>0</v>
      </c>
      <c r="P8" s="67">
        <f t="shared" si="1"/>
        <v>0</v>
      </c>
      <c r="Q8" s="68">
        <f t="shared" si="2"/>
        <v>0</v>
      </c>
    </row>
    <row r="9" spans="1:17" ht="33.75" customHeight="1">
      <c r="A9" s="84" t="str">
        <f>'DIA 02'!A9</f>
        <v>ST-036 R1300</v>
      </c>
      <c r="B9" s="24">
        <v>8941.6</v>
      </c>
      <c r="C9" s="61">
        <v>198</v>
      </c>
      <c r="D9" s="72" t="s">
        <v>82</v>
      </c>
      <c r="E9" s="12" t="s">
        <v>81</v>
      </c>
      <c r="F9" s="12" t="s">
        <v>82</v>
      </c>
      <c r="G9" s="27"/>
      <c r="H9" s="42"/>
      <c r="I9" s="26">
        <v>89499</v>
      </c>
      <c r="J9" s="14">
        <v>345</v>
      </c>
      <c r="K9" s="12" t="s">
        <v>96</v>
      </c>
      <c r="L9" s="12" t="s">
        <v>89</v>
      </c>
      <c r="M9" s="12" t="s">
        <v>90</v>
      </c>
      <c r="N9" s="37"/>
      <c r="O9" s="55">
        <f t="shared" si="3"/>
        <v>543</v>
      </c>
      <c r="P9" s="67">
        <f t="shared" si="1"/>
        <v>-8941.6</v>
      </c>
      <c r="Q9" s="68">
        <f t="shared" si="2"/>
        <v>-89499</v>
      </c>
    </row>
    <row r="10" spans="1:17" ht="33.75" customHeight="1">
      <c r="A10" s="84" t="str">
        <f>'DIA 02'!A10</f>
        <v>ST-018</v>
      </c>
      <c r="B10" s="24"/>
      <c r="C10" s="61"/>
      <c r="D10" s="72"/>
      <c r="E10" s="12"/>
      <c r="F10" s="12"/>
      <c r="G10" s="27"/>
      <c r="H10" s="42"/>
      <c r="I10" s="26">
        <v>9587</v>
      </c>
      <c r="J10" s="14">
        <v>182</v>
      </c>
      <c r="K10" s="12" t="s">
        <v>91</v>
      </c>
      <c r="L10" s="12" t="s">
        <v>89</v>
      </c>
      <c r="M10" s="12" t="s">
        <v>90</v>
      </c>
      <c r="N10" s="37"/>
      <c r="O10" s="55">
        <f t="shared" si="3"/>
        <v>182</v>
      </c>
      <c r="P10" s="67">
        <f t="shared" si="1"/>
        <v>0</v>
      </c>
      <c r="Q10" s="68">
        <f t="shared" si="2"/>
        <v>-9587</v>
      </c>
    </row>
    <row r="11" spans="1:17" ht="33.75" customHeight="1">
      <c r="A11" s="84" t="str">
        <f>'DIA 02'!A11</f>
        <v>ST-034 KOMATSU</v>
      </c>
      <c r="B11" s="24"/>
      <c r="C11" s="61"/>
      <c r="D11" s="72"/>
      <c r="E11" s="12"/>
      <c r="F11" s="12"/>
      <c r="G11" s="25"/>
      <c r="H11" s="42"/>
      <c r="I11" s="26"/>
      <c r="J11" s="14"/>
      <c r="K11" s="12"/>
      <c r="L11" s="12"/>
      <c r="M11" s="12"/>
      <c r="N11" s="37"/>
      <c r="O11" s="55">
        <f t="shared" si="3"/>
        <v>0</v>
      </c>
      <c r="P11" s="67">
        <f t="shared" si="1"/>
        <v>0</v>
      </c>
      <c r="Q11" s="68">
        <f t="shared" si="2"/>
        <v>0</v>
      </c>
    </row>
    <row r="12" spans="1:17" ht="33.75" customHeight="1">
      <c r="A12" s="84" t="str">
        <f>'DIA 02'!A12</f>
        <v>JL-015 (DD311)</v>
      </c>
      <c r="B12" s="24"/>
      <c r="C12" s="60"/>
      <c r="D12" s="71"/>
      <c r="E12" s="12"/>
      <c r="F12" s="12"/>
      <c r="G12" s="25"/>
      <c r="H12" s="42"/>
      <c r="I12" s="26"/>
      <c r="J12" s="16"/>
      <c r="K12" s="12"/>
      <c r="L12" s="12"/>
      <c r="M12" s="12"/>
      <c r="N12" s="37"/>
      <c r="O12" s="55">
        <f t="shared" si="3"/>
        <v>0</v>
      </c>
      <c r="P12" s="67">
        <f t="shared" si="1"/>
        <v>0</v>
      </c>
      <c r="Q12" s="68">
        <f t="shared" si="2"/>
        <v>0</v>
      </c>
    </row>
    <row r="13" spans="1:17" ht="33.75" customHeight="1">
      <c r="A13" s="84" t="str">
        <f>'DIA 02'!A13</f>
        <v>JL-019</v>
      </c>
      <c r="B13" s="24"/>
      <c r="C13" s="60"/>
      <c r="D13" s="71"/>
      <c r="E13" s="12"/>
      <c r="F13" s="12"/>
      <c r="G13" s="25"/>
      <c r="H13" s="42"/>
      <c r="I13" s="26"/>
      <c r="J13" s="16"/>
      <c r="K13" s="12"/>
      <c r="L13" s="12"/>
      <c r="M13" s="12"/>
      <c r="N13" s="37"/>
      <c r="O13" s="55">
        <f t="shared" si="3"/>
        <v>0</v>
      </c>
      <c r="P13" s="67">
        <f t="shared" si="1"/>
        <v>0</v>
      </c>
      <c r="Q13" s="68">
        <f t="shared" si="2"/>
        <v>0</v>
      </c>
    </row>
    <row r="14" spans="1:17" ht="33.75" customHeight="1">
      <c r="A14" s="84" t="str">
        <f>'DIA 02'!A14</f>
        <v>JL-024 CANNON</v>
      </c>
      <c r="B14" s="24"/>
      <c r="C14" s="60"/>
      <c r="D14" s="71"/>
      <c r="E14" s="12"/>
      <c r="F14" s="12"/>
      <c r="G14" s="25"/>
      <c r="H14" s="42"/>
      <c r="I14" s="26"/>
      <c r="J14" s="16"/>
      <c r="K14" s="12"/>
      <c r="L14" s="12"/>
      <c r="M14" s="12"/>
      <c r="N14" s="37"/>
      <c r="O14" s="55">
        <f t="shared" si="3"/>
        <v>0</v>
      </c>
      <c r="P14" s="67">
        <f t="shared" si="1"/>
        <v>0</v>
      </c>
      <c r="Q14" s="68">
        <f t="shared" si="2"/>
        <v>0</v>
      </c>
    </row>
    <row r="15" spans="1:17" ht="33.75" customHeight="1">
      <c r="A15" s="84" t="str">
        <f>'DIA 02'!A15</f>
        <v>JA-007 RESEMIN</v>
      </c>
      <c r="B15" s="24">
        <v>745.7</v>
      </c>
      <c r="C15" s="61">
        <v>30</v>
      </c>
      <c r="D15" s="72" t="s">
        <v>85</v>
      </c>
      <c r="E15" s="12" t="s">
        <v>94</v>
      </c>
      <c r="F15" s="12" t="s">
        <v>82</v>
      </c>
      <c r="G15" s="27"/>
      <c r="H15" s="42"/>
      <c r="I15" s="26"/>
      <c r="J15" s="16"/>
      <c r="K15" s="17"/>
      <c r="L15" s="17"/>
      <c r="M15" s="17"/>
      <c r="N15" s="37"/>
      <c r="O15" s="55">
        <f t="shared" si="3"/>
        <v>30</v>
      </c>
      <c r="P15" s="67">
        <f t="shared" si="1"/>
        <v>-745.7</v>
      </c>
      <c r="Q15" s="68">
        <f t="shared" si="2"/>
        <v>0</v>
      </c>
    </row>
    <row r="16" spans="1:17" ht="33.75" customHeight="1">
      <c r="A16" s="84" t="str">
        <f>'DIA 02'!A16</f>
        <v>JA-004 CANNON</v>
      </c>
      <c r="B16" s="24"/>
      <c r="C16" s="60"/>
      <c r="D16" s="71"/>
      <c r="E16" s="17"/>
      <c r="F16" s="12"/>
      <c r="G16" s="25"/>
      <c r="H16" s="42"/>
      <c r="I16" s="26"/>
      <c r="J16" s="16"/>
      <c r="K16" s="13"/>
      <c r="L16" s="13"/>
      <c r="M16" s="13"/>
      <c r="N16" s="41"/>
      <c r="O16" s="55">
        <f t="shared" si="3"/>
        <v>0</v>
      </c>
      <c r="P16" s="67">
        <f t="shared" si="1"/>
        <v>0</v>
      </c>
      <c r="Q16" s="68">
        <f t="shared" si="2"/>
        <v>0</v>
      </c>
    </row>
    <row r="17" spans="1:17" ht="33.75" customHeight="1">
      <c r="A17" s="84" t="str">
        <f>'DIA 02'!A17</f>
        <v>RE-009 (RETROEXCAVADORA)</v>
      </c>
      <c r="B17" s="24"/>
      <c r="C17" s="62"/>
      <c r="D17" s="57"/>
      <c r="E17" s="13"/>
      <c r="F17" s="12"/>
      <c r="G17" s="28"/>
      <c r="H17" s="42"/>
      <c r="I17" s="26"/>
      <c r="J17" s="15"/>
      <c r="K17" s="13"/>
      <c r="L17" s="13"/>
      <c r="M17" s="13"/>
      <c r="N17" s="38"/>
      <c r="O17" s="55">
        <f t="shared" si="3"/>
        <v>0</v>
      </c>
      <c r="P17" s="67">
        <f t="shared" si="1"/>
        <v>0</v>
      </c>
      <c r="Q17" s="68">
        <f t="shared" si="2"/>
        <v>0</v>
      </c>
    </row>
    <row r="18" spans="1:17" ht="33.75" customHeight="1">
      <c r="A18" s="84" t="str">
        <f>'DIA 02'!A18</f>
        <v>RE-010 (RETROEXCAVADORA)</v>
      </c>
      <c r="B18" s="24"/>
      <c r="C18" s="62"/>
      <c r="D18" s="57"/>
      <c r="E18" s="13"/>
      <c r="F18" s="12"/>
      <c r="G18" s="28"/>
      <c r="H18" s="42"/>
      <c r="I18" s="26">
        <v>6599.5</v>
      </c>
      <c r="J18" s="15">
        <v>93</v>
      </c>
      <c r="K18" s="13" t="s">
        <v>98</v>
      </c>
      <c r="L18" s="13" t="s">
        <v>89</v>
      </c>
      <c r="M18" s="13" t="s">
        <v>90</v>
      </c>
      <c r="N18" s="37"/>
      <c r="O18" s="55">
        <f t="shared" si="3"/>
        <v>93</v>
      </c>
      <c r="P18" s="67">
        <f t="shared" si="1"/>
        <v>0</v>
      </c>
      <c r="Q18" s="68">
        <f t="shared" si="2"/>
        <v>-6599.5</v>
      </c>
    </row>
    <row r="19" spans="1:17" ht="33.75" customHeight="1">
      <c r="A19" s="84" t="str">
        <f>'DIA 02'!A19</f>
        <v>ZN</v>
      </c>
      <c r="B19" s="24"/>
      <c r="C19" s="16"/>
      <c r="D19" s="17"/>
      <c r="E19" s="17"/>
      <c r="F19" s="17"/>
      <c r="G19" s="25"/>
      <c r="H19" s="42"/>
      <c r="I19" s="26"/>
      <c r="J19" s="16"/>
      <c r="K19" s="17"/>
      <c r="L19" s="17"/>
      <c r="M19" s="17"/>
      <c r="N19" s="37"/>
      <c r="O19" s="55">
        <f t="shared" si="3"/>
        <v>0</v>
      </c>
      <c r="P19" s="67">
        <f t="shared" si="1"/>
        <v>0</v>
      </c>
      <c r="Q19" s="68">
        <f t="shared" si="2"/>
        <v>0</v>
      </c>
    </row>
    <row r="20" spans="1:17" ht="33.75" customHeight="1">
      <c r="A20" s="84" t="str">
        <f>'DIA 02'!A20</f>
        <v>CBP-001 (BAJO PERFIL)</v>
      </c>
      <c r="B20" s="24"/>
      <c r="C20" s="16"/>
      <c r="D20" s="17"/>
      <c r="E20" s="17"/>
      <c r="F20" s="17"/>
      <c r="G20" s="25"/>
      <c r="H20" s="42"/>
      <c r="I20" s="26"/>
      <c r="J20" s="16"/>
      <c r="K20" s="17"/>
      <c r="L20" s="17"/>
      <c r="M20" s="17"/>
      <c r="N20" s="37"/>
      <c r="O20" s="55">
        <f t="shared" si="3"/>
        <v>0</v>
      </c>
      <c r="P20" s="67">
        <f t="shared" si="1"/>
        <v>0</v>
      </c>
      <c r="Q20" s="68">
        <f t="shared" si="2"/>
        <v>0</v>
      </c>
    </row>
    <row r="21" spans="1:17" ht="33.75" customHeight="1">
      <c r="A21" s="84" t="str">
        <f>'DIA 02'!A21</f>
        <v>MG-105</v>
      </c>
      <c r="B21" s="24"/>
      <c r="C21" s="16"/>
      <c r="D21" s="17"/>
      <c r="E21" s="17"/>
      <c r="F21" s="17"/>
      <c r="G21" s="25"/>
      <c r="H21" s="42"/>
      <c r="I21" s="26"/>
      <c r="J21" s="16"/>
      <c r="K21" s="17"/>
      <c r="L21" s="17"/>
      <c r="M21" s="17"/>
      <c r="N21" s="37"/>
      <c r="O21" s="55">
        <f t="shared" si="3"/>
        <v>0</v>
      </c>
      <c r="P21" s="67">
        <f t="shared" ref="P21:P34" si="4">G21-B21</f>
        <v>0</v>
      </c>
      <c r="Q21" s="68">
        <f t="shared" ref="Q21:Q34" si="5">N21-I21</f>
        <v>0</v>
      </c>
    </row>
    <row r="22" spans="1:17" ht="33.75" customHeight="1">
      <c r="A22" s="84" t="str">
        <f>'DIA 02'!A22</f>
        <v>MG-044</v>
      </c>
      <c r="B22" s="24"/>
      <c r="C22" s="16"/>
      <c r="D22" s="17"/>
      <c r="E22" s="17"/>
      <c r="F22" s="17"/>
      <c r="G22" s="25"/>
      <c r="H22" s="42"/>
      <c r="I22" s="26"/>
      <c r="J22" s="16"/>
      <c r="K22" s="17"/>
      <c r="L22" s="17"/>
      <c r="M22" s="17"/>
      <c r="N22" s="37"/>
      <c r="O22" s="55">
        <f t="shared" ref="O22:O25" si="6">C22+J22</f>
        <v>0</v>
      </c>
      <c r="P22" s="67">
        <f t="shared" ref="P22:P25" si="7">G22-B22</f>
        <v>0</v>
      </c>
      <c r="Q22" s="68">
        <f t="shared" ref="Q22:Q25" si="8">N22-I22</f>
        <v>0</v>
      </c>
    </row>
    <row r="23" spans="1:17" ht="33.75" customHeight="1">
      <c r="A23" s="84" t="str">
        <f>'DIA 02'!A23</f>
        <v>MG-085 (POLVORERA)</v>
      </c>
      <c r="B23" s="24"/>
      <c r="C23" s="16"/>
      <c r="D23" s="17"/>
      <c r="E23" s="17"/>
      <c r="F23" s="17"/>
      <c r="G23" s="25"/>
      <c r="H23" s="42"/>
      <c r="I23" s="26"/>
      <c r="J23" s="16"/>
      <c r="K23" s="17"/>
      <c r="L23" s="17"/>
      <c r="M23" s="17"/>
      <c r="N23" s="37"/>
      <c r="O23" s="55">
        <f t="shared" si="6"/>
        <v>0</v>
      </c>
      <c r="P23" s="67">
        <f t="shared" si="7"/>
        <v>0</v>
      </c>
      <c r="Q23" s="68">
        <f t="shared" si="8"/>
        <v>0</v>
      </c>
    </row>
    <row r="24" spans="1:17" ht="33.75" customHeight="1">
      <c r="A24" s="84" t="str">
        <f>'DIA 02'!A24</f>
        <v>MG-033 (PERSONAL)</v>
      </c>
      <c r="B24" s="24"/>
      <c r="C24" s="16"/>
      <c r="D24" s="17"/>
      <c r="E24" s="17"/>
      <c r="F24" s="17"/>
      <c r="G24" s="25"/>
      <c r="H24" s="42"/>
      <c r="I24" s="26"/>
      <c r="J24" s="16"/>
      <c r="K24" s="17"/>
      <c r="L24" s="17"/>
      <c r="M24" s="17"/>
      <c r="N24" s="37"/>
      <c r="O24" s="55">
        <f t="shared" si="6"/>
        <v>0</v>
      </c>
      <c r="P24" s="67">
        <f t="shared" si="7"/>
        <v>0</v>
      </c>
      <c r="Q24" s="68">
        <f t="shared" si="8"/>
        <v>0</v>
      </c>
    </row>
    <row r="25" spans="1:17" ht="33.75" customHeight="1">
      <c r="A25" s="84" t="str">
        <f>'DIA 02'!A25</f>
        <v>MG-113</v>
      </c>
      <c r="B25" s="24"/>
      <c r="C25" s="16"/>
      <c r="D25" s="17"/>
      <c r="E25" s="17"/>
      <c r="F25" s="17"/>
      <c r="G25" s="25"/>
      <c r="H25" s="42"/>
      <c r="I25" s="26"/>
      <c r="J25" s="16"/>
      <c r="K25" s="17"/>
      <c r="L25" s="17"/>
      <c r="M25" s="17"/>
      <c r="N25" s="37"/>
      <c r="O25" s="55">
        <f t="shared" si="6"/>
        <v>0</v>
      </c>
      <c r="P25" s="67">
        <f t="shared" si="7"/>
        <v>0</v>
      </c>
      <c r="Q25" s="68">
        <f t="shared" si="8"/>
        <v>0</v>
      </c>
    </row>
    <row r="26" spans="1:17" ht="33.75" customHeight="1">
      <c r="A26" s="84" t="str">
        <f>'DIA 02'!A26</f>
        <v>MG-121</v>
      </c>
      <c r="B26" s="24">
        <v>24878</v>
      </c>
      <c r="C26" s="16">
        <v>62</v>
      </c>
      <c r="D26" s="17" t="s">
        <v>95</v>
      </c>
      <c r="E26" s="17" t="s">
        <v>81</v>
      </c>
      <c r="F26" s="17"/>
      <c r="G26" s="25"/>
      <c r="H26" s="42"/>
      <c r="I26" s="26"/>
      <c r="J26" s="16"/>
      <c r="K26" s="17"/>
      <c r="L26" s="17"/>
      <c r="M26" s="17"/>
      <c r="N26" s="37"/>
      <c r="O26" s="55">
        <f t="shared" ref="O26:O33" si="9">C26+J26</f>
        <v>62</v>
      </c>
      <c r="P26" s="67">
        <f t="shared" ref="P26:P33" si="10">G26-B26</f>
        <v>-24878</v>
      </c>
      <c r="Q26" s="68">
        <f t="shared" ref="Q26:Q33" si="11">N26-I26</f>
        <v>0</v>
      </c>
    </row>
    <row r="27" spans="1:17" ht="33.75" customHeight="1">
      <c r="A27" s="84" t="str">
        <f>'DIA 02'!A27</f>
        <v>MG-086</v>
      </c>
      <c r="B27" s="24"/>
      <c r="C27" s="16"/>
      <c r="D27" s="17"/>
      <c r="E27" s="17"/>
      <c r="F27" s="17"/>
      <c r="G27" s="25"/>
      <c r="H27" s="42"/>
      <c r="I27" s="26"/>
      <c r="J27" s="16"/>
      <c r="K27" s="17"/>
      <c r="L27" s="17"/>
      <c r="M27" s="17"/>
      <c r="N27" s="37"/>
      <c r="O27" s="55">
        <f t="shared" si="9"/>
        <v>0</v>
      </c>
      <c r="P27" s="67">
        <f t="shared" si="10"/>
        <v>0</v>
      </c>
      <c r="Q27" s="68">
        <f t="shared" si="11"/>
        <v>0</v>
      </c>
    </row>
    <row r="28" spans="1:17" ht="33.75" customHeight="1">
      <c r="A28" s="84" t="str">
        <f>'DIA 02'!A28</f>
        <v>MG-111</v>
      </c>
      <c r="B28" s="24"/>
      <c r="C28" s="16"/>
      <c r="D28" s="17"/>
      <c r="E28" s="17"/>
      <c r="F28" s="17"/>
      <c r="G28" s="25"/>
      <c r="H28" s="42"/>
      <c r="I28" s="26"/>
      <c r="J28" s="16"/>
      <c r="K28" s="17"/>
      <c r="L28" s="17"/>
      <c r="M28" s="17"/>
      <c r="N28" s="37"/>
      <c r="O28" s="55">
        <f t="shared" si="9"/>
        <v>0</v>
      </c>
      <c r="P28" s="67">
        <f t="shared" si="10"/>
        <v>0</v>
      </c>
      <c r="Q28" s="68">
        <f t="shared" si="11"/>
        <v>0</v>
      </c>
    </row>
    <row r="29" spans="1:17" ht="33.75" customHeight="1">
      <c r="A29" s="84" t="str">
        <f>'DIA 02'!A29</f>
        <v>MG-120</v>
      </c>
      <c r="B29" s="24"/>
      <c r="C29" s="16"/>
      <c r="D29" s="17"/>
      <c r="E29" s="17"/>
      <c r="F29" s="17"/>
      <c r="G29" s="25"/>
      <c r="H29" s="42"/>
      <c r="I29" s="26"/>
      <c r="J29" s="16"/>
      <c r="K29" s="17"/>
      <c r="L29" s="17"/>
      <c r="M29" s="17"/>
      <c r="N29" s="37"/>
      <c r="O29" s="55">
        <f t="shared" si="9"/>
        <v>0</v>
      </c>
      <c r="P29" s="67">
        <f t="shared" si="10"/>
        <v>0</v>
      </c>
      <c r="Q29" s="68">
        <f t="shared" si="11"/>
        <v>0</v>
      </c>
    </row>
    <row r="30" spans="1:17" ht="33.75" customHeight="1">
      <c r="A30" s="84" t="str">
        <f>'DIA 02'!A30</f>
        <v>PROSERMIN</v>
      </c>
      <c r="B30" s="24"/>
      <c r="C30" s="16">
        <v>141</v>
      </c>
      <c r="D30" s="17"/>
      <c r="E30" s="17"/>
      <c r="F30" s="17"/>
      <c r="G30" s="25"/>
      <c r="H30" s="42"/>
      <c r="I30" s="26"/>
      <c r="J30" s="16">
        <v>236</v>
      </c>
      <c r="K30" s="17"/>
      <c r="L30" s="17"/>
      <c r="M30" s="17"/>
      <c r="N30" s="37"/>
      <c r="O30" s="55">
        <f t="shared" si="9"/>
        <v>377</v>
      </c>
      <c r="P30" s="67">
        <f t="shared" si="10"/>
        <v>0</v>
      </c>
      <c r="Q30" s="68">
        <f t="shared" si="11"/>
        <v>0</v>
      </c>
    </row>
    <row r="31" spans="1:17" ht="33.75" customHeight="1">
      <c r="A31" s="84" t="str">
        <f>'DIA 02'!A31</f>
        <v>ST-060</v>
      </c>
      <c r="B31" s="24"/>
      <c r="C31" s="16"/>
      <c r="D31" s="17"/>
      <c r="E31" s="17"/>
      <c r="F31" s="17"/>
      <c r="G31" s="25"/>
      <c r="H31" s="42"/>
      <c r="I31" s="26"/>
      <c r="J31" s="16"/>
      <c r="K31" s="17"/>
      <c r="L31" s="17"/>
      <c r="M31" s="17"/>
      <c r="N31" s="37"/>
      <c r="O31" s="55">
        <f t="shared" si="9"/>
        <v>0</v>
      </c>
      <c r="P31" s="67">
        <f t="shared" si="10"/>
        <v>0</v>
      </c>
      <c r="Q31" s="68">
        <f t="shared" si="11"/>
        <v>0</v>
      </c>
    </row>
    <row r="32" spans="1:17" ht="33.75" customHeight="1">
      <c r="A32" s="84" t="str">
        <f>'DIA 02'!A32</f>
        <v>ST-53</v>
      </c>
      <c r="B32" s="24"/>
      <c r="C32" s="16"/>
      <c r="D32" s="17"/>
      <c r="E32" s="17"/>
      <c r="F32" s="17"/>
      <c r="G32" s="25"/>
      <c r="H32" s="42"/>
      <c r="I32" s="26"/>
      <c r="J32" s="16"/>
      <c r="K32" s="17"/>
      <c r="L32" s="17"/>
      <c r="M32" s="17"/>
      <c r="N32" s="37"/>
      <c r="O32" s="55">
        <f t="shared" si="9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02'!A33</f>
        <v>ST-039</v>
      </c>
      <c r="B33" s="26">
        <v>9410.1</v>
      </c>
      <c r="C33" s="14">
        <v>251</v>
      </c>
      <c r="D33" s="12" t="s">
        <v>83</v>
      </c>
      <c r="E33" s="12" t="s">
        <v>81</v>
      </c>
      <c r="F33" s="12" t="s">
        <v>82</v>
      </c>
      <c r="G33" s="27"/>
      <c r="H33" s="42"/>
      <c r="I33" s="26">
        <v>9418</v>
      </c>
      <c r="J33" s="14">
        <v>223</v>
      </c>
      <c r="K33" s="12" t="s">
        <v>91</v>
      </c>
      <c r="L33" s="12" t="s">
        <v>89</v>
      </c>
      <c r="M33" s="12" t="s">
        <v>90</v>
      </c>
      <c r="N33" s="37"/>
      <c r="O33" s="55">
        <f t="shared" si="9"/>
        <v>474</v>
      </c>
      <c r="P33" s="67">
        <f t="shared" si="10"/>
        <v>-9410.1</v>
      </c>
      <c r="Q33" s="68">
        <f t="shared" si="11"/>
        <v>-9418</v>
      </c>
    </row>
    <row r="34" spans="1:21" ht="33.75" customHeight="1" thickBot="1">
      <c r="A34" s="84" t="str">
        <f>'DIA 02'!A34</f>
        <v>JL-025</v>
      </c>
      <c r="B34" s="39"/>
      <c r="C34" s="101"/>
      <c r="D34" s="35"/>
      <c r="E34" s="35"/>
      <c r="F34" s="35"/>
      <c r="G34" s="103"/>
      <c r="H34" s="42"/>
      <c r="I34" s="39">
        <v>4161</v>
      </c>
      <c r="J34" s="101">
        <v>47</v>
      </c>
      <c r="K34" s="35" t="s">
        <v>97</v>
      </c>
      <c r="L34" s="35" t="s">
        <v>89</v>
      </c>
      <c r="M34" s="35" t="s">
        <v>90</v>
      </c>
      <c r="N34" s="102"/>
      <c r="O34" s="105">
        <f t="shared" si="3"/>
        <v>47</v>
      </c>
      <c r="P34" s="69">
        <f t="shared" si="4"/>
        <v>0</v>
      </c>
      <c r="Q34" s="70">
        <f t="shared" si="5"/>
        <v>-4161</v>
      </c>
    </row>
    <row r="35" spans="1:21" ht="39" customHeight="1" thickBot="1">
      <c r="A35" s="83" t="s">
        <v>0</v>
      </c>
      <c r="B35" s="11"/>
      <c r="C35" s="83">
        <f>SUM(C7:C34)</f>
        <v>682</v>
      </c>
      <c r="D35" s="10"/>
      <c r="E35" s="11"/>
      <c r="F35" s="11"/>
      <c r="G35" s="11"/>
      <c r="H35" s="11"/>
      <c r="I35" s="11"/>
      <c r="J35" s="100">
        <f>SUM(J7:J34)</f>
        <v>1126</v>
      </c>
      <c r="K35" s="50"/>
      <c r="L35" s="50"/>
      <c r="M35" s="49"/>
      <c r="N35" s="49"/>
      <c r="O35" s="104">
        <f>C35+J35</f>
        <v>1808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O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112" priority="1" operator="containsText" text="NO TRABAJO">
      <formula>NOT(ISERROR(SEARCH("NO TRABAJO",O7)))</formula>
    </cfRule>
    <cfRule type="containsText" dxfId="111" priority="2" operator="containsText" text="FUERA DE SERVICIO">
      <formula>NOT(ISERROR(SEARCH("FUERA DE SERVICIO",O7)))</formula>
    </cfRule>
    <cfRule type="containsText" dxfId="110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6BBCC-30A1-4E18-989A-71A4FEC33D8D}">
  <sheetPr>
    <pageSetUpPr fitToPage="1"/>
  </sheetPr>
  <dimension ref="A1:U56"/>
  <sheetViews>
    <sheetView showGridLines="0" view="pageBreakPreview" topLeftCell="A16" zoomScale="50" zoomScaleNormal="100" zoomScaleSheetLayoutView="50" workbookViewId="0">
      <selection activeCell="M33" sqref="M33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03'!Q2+O2</f>
        <v>10367</v>
      </c>
      <c r="Q2" s="160">
        <f>P2-O35</f>
        <v>9086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70"/>
      <c r="P4" s="77"/>
      <c r="Q4" s="78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0"/>
      <c r="P5" s="79"/>
      <c r="Q5" s="80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03'!O6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03'!A7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C7+J7</f>
        <v>0</v>
      </c>
      <c r="P7" s="67">
        <f t="shared" ref="P7:P25" si="1">G7-B7</f>
        <v>0</v>
      </c>
      <c r="Q7" s="68">
        <f t="shared" ref="Q7:Q25" si="2">N7-I7</f>
        <v>0</v>
      </c>
    </row>
    <row r="8" spans="1:17" ht="33.75" customHeight="1">
      <c r="A8" s="84" t="str">
        <f>'DIA 03'!A8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34" si="3">C8+J8</f>
        <v>0</v>
      </c>
      <c r="P8" s="67">
        <f t="shared" si="1"/>
        <v>0</v>
      </c>
      <c r="Q8" s="68">
        <f t="shared" si="2"/>
        <v>0</v>
      </c>
    </row>
    <row r="9" spans="1:17" ht="33.75" customHeight="1">
      <c r="A9" s="84" t="str">
        <f>'DIA 03'!A9</f>
        <v>ST-036 R1300</v>
      </c>
      <c r="B9" s="24">
        <v>8960.6</v>
      </c>
      <c r="C9" s="61">
        <v>47</v>
      </c>
      <c r="D9" s="72" t="s">
        <v>82</v>
      </c>
      <c r="E9" s="12" t="s">
        <v>81</v>
      </c>
      <c r="F9" s="12" t="s">
        <v>82</v>
      </c>
      <c r="G9" s="27"/>
      <c r="H9" s="42"/>
      <c r="I9" s="26">
        <v>89670</v>
      </c>
      <c r="J9" s="14">
        <v>128</v>
      </c>
      <c r="K9" s="12" t="s">
        <v>88</v>
      </c>
      <c r="L9" s="12" t="s">
        <v>89</v>
      </c>
      <c r="M9" s="12" t="s">
        <v>90</v>
      </c>
      <c r="N9" s="37"/>
      <c r="O9" s="55">
        <f t="shared" si="3"/>
        <v>175</v>
      </c>
      <c r="P9" s="67">
        <f t="shared" si="1"/>
        <v>-8960.6</v>
      </c>
      <c r="Q9" s="68">
        <f t="shared" si="2"/>
        <v>-89670</v>
      </c>
    </row>
    <row r="10" spans="1:17" ht="33.75" customHeight="1">
      <c r="A10" s="84" t="str">
        <f>'DIA 03'!A10</f>
        <v>ST-018</v>
      </c>
      <c r="B10" s="24">
        <v>9592</v>
      </c>
      <c r="C10" s="61">
        <v>168</v>
      </c>
      <c r="D10" s="72" t="s">
        <v>80</v>
      </c>
      <c r="E10" s="12" t="s">
        <v>81</v>
      </c>
      <c r="F10" s="12" t="s">
        <v>82</v>
      </c>
      <c r="G10" s="27"/>
      <c r="H10" s="42"/>
      <c r="I10" s="26">
        <v>8599.9</v>
      </c>
      <c r="J10" s="14">
        <v>100</v>
      </c>
      <c r="K10" s="12" t="s">
        <v>88</v>
      </c>
      <c r="L10" s="12" t="s">
        <v>89</v>
      </c>
      <c r="M10" s="12" t="s">
        <v>90</v>
      </c>
      <c r="N10" s="37"/>
      <c r="O10" s="55">
        <f t="shared" si="3"/>
        <v>268</v>
      </c>
      <c r="P10" s="67">
        <f t="shared" si="1"/>
        <v>-9592</v>
      </c>
      <c r="Q10" s="68">
        <f t="shared" si="2"/>
        <v>-8599.9</v>
      </c>
    </row>
    <row r="11" spans="1:17" ht="33.75" customHeight="1">
      <c r="A11" s="84" t="str">
        <f>'DIA 03'!A11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ref="O11:O21" si="4">C11+J11</f>
        <v>0</v>
      </c>
      <c r="P11" s="67">
        <f t="shared" ref="P11:P21" si="5">G11-B11</f>
        <v>0</v>
      </c>
      <c r="Q11" s="68">
        <f t="shared" ref="Q11:Q21" si="6">N11-I11</f>
        <v>0</v>
      </c>
    </row>
    <row r="12" spans="1:17" ht="33.75" customHeight="1">
      <c r="A12" s="84" t="str">
        <f>'DIA 03'!A12</f>
        <v>JL-015 (DD311)</v>
      </c>
      <c r="B12" s="24"/>
      <c r="C12" s="61">
        <v>43</v>
      </c>
      <c r="D12" s="72" t="s">
        <v>99</v>
      </c>
      <c r="E12" s="12" t="s">
        <v>81</v>
      </c>
      <c r="F12" s="12" t="s">
        <v>82</v>
      </c>
      <c r="G12" s="27"/>
      <c r="H12" s="42"/>
      <c r="I12" s="26"/>
      <c r="J12" s="14"/>
      <c r="K12" s="12"/>
      <c r="L12" s="12"/>
      <c r="M12" s="12"/>
      <c r="N12" s="37"/>
      <c r="O12" s="55">
        <f t="shared" si="4"/>
        <v>43</v>
      </c>
      <c r="P12" s="67">
        <f t="shared" si="5"/>
        <v>0</v>
      </c>
      <c r="Q12" s="68">
        <f t="shared" si="6"/>
        <v>0</v>
      </c>
    </row>
    <row r="13" spans="1:17" ht="33.75" customHeight="1">
      <c r="A13" s="84" t="str">
        <f>'DIA 03'!A13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4"/>
        <v>0</v>
      </c>
      <c r="P13" s="67">
        <f t="shared" si="5"/>
        <v>0</v>
      </c>
      <c r="Q13" s="68">
        <f t="shared" si="6"/>
        <v>0</v>
      </c>
    </row>
    <row r="14" spans="1:17" ht="33.75" customHeight="1">
      <c r="A14" s="84" t="str">
        <f>'DIA 03'!A14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4"/>
        <v>0</v>
      </c>
      <c r="P14" s="67">
        <f t="shared" si="5"/>
        <v>0</v>
      </c>
      <c r="Q14" s="68">
        <f t="shared" si="6"/>
        <v>0</v>
      </c>
    </row>
    <row r="15" spans="1:17" ht="33.75" customHeight="1">
      <c r="A15" s="84" t="str">
        <f>'DIA 03'!A15</f>
        <v>JA-007 RESEMIN</v>
      </c>
      <c r="B15" s="24"/>
      <c r="C15" s="61"/>
      <c r="D15" s="72"/>
      <c r="E15" s="12"/>
      <c r="F15" s="12"/>
      <c r="G15" s="27"/>
      <c r="H15" s="42"/>
      <c r="I15" s="26">
        <v>750.9</v>
      </c>
      <c r="J15" s="14">
        <v>30</v>
      </c>
      <c r="K15" s="12" t="s">
        <v>83</v>
      </c>
      <c r="L15" s="12" t="s">
        <v>89</v>
      </c>
      <c r="M15" s="12" t="s">
        <v>90</v>
      </c>
      <c r="N15" s="37"/>
      <c r="O15" s="55">
        <f t="shared" si="4"/>
        <v>30</v>
      </c>
      <c r="P15" s="67">
        <f t="shared" si="5"/>
        <v>0</v>
      </c>
      <c r="Q15" s="68">
        <f t="shared" si="6"/>
        <v>-750.9</v>
      </c>
    </row>
    <row r="16" spans="1:17" ht="33.75" customHeight="1">
      <c r="A16" s="84" t="str">
        <f>'DIA 03'!A16</f>
        <v>JA-004 CANNON</v>
      </c>
      <c r="B16" s="24"/>
      <c r="C16" s="61"/>
      <c r="D16" s="72"/>
      <c r="E16" s="12"/>
      <c r="F16" s="12"/>
      <c r="G16" s="25"/>
      <c r="H16" s="42"/>
      <c r="I16" s="26"/>
      <c r="J16" s="14"/>
      <c r="K16" s="12"/>
      <c r="L16" s="12"/>
      <c r="M16" s="12"/>
      <c r="N16" s="37"/>
      <c r="O16" s="55">
        <f t="shared" si="4"/>
        <v>0</v>
      </c>
      <c r="P16" s="67">
        <f t="shared" si="5"/>
        <v>0</v>
      </c>
      <c r="Q16" s="68">
        <f t="shared" si="6"/>
        <v>0</v>
      </c>
    </row>
    <row r="17" spans="1:17" ht="33.75" customHeight="1">
      <c r="A17" s="84" t="str">
        <f>'DIA 03'!A17</f>
        <v>RE-009 (RETROEXCAVADORA)</v>
      </c>
      <c r="B17" s="24">
        <v>2759.6</v>
      </c>
      <c r="C17" s="60">
        <v>98</v>
      </c>
      <c r="D17" s="71" t="s">
        <v>100</v>
      </c>
      <c r="E17" s="12" t="s">
        <v>81</v>
      </c>
      <c r="F17" s="12" t="s">
        <v>82</v>
      </c>
      <c r="G17" s="25"/>
      <c r="H17" s="42"/>
      <c r="I17" s="26"/>
      <c r="J17" s="16"/>
      <c r="K17" s="12"/>
      <c r="L17" s="12"/>
      <c r="M17" s="12"/>
      <c r="N17" s="37"/>
      <c r="O17" s="55">
        <f t="shared" si="4"/>
        <v>98</v>
      </c>
      <c r="P17" s="67">
        <f t="shared" si="5"/>
        <v>-2759.6</v>
      </c>
      <c r="Q17" s="68">
        <f t="shared" si="6"/>
        <v>0</v>
      </c>
    </row>
    <row r="18" spans="1:17" ht="33.75" customHeight="1">
      <c r="A18" s="84" t="str">
        <f>'DIA 03'!A18</f>
        <v>RE-010 (RETROEXCAVADORA)</v>
      </c>
      <c r="B18" s="24"/>
      <c r="C18" s="60"/>
      <c r="D18" s="71"/>
      <c r="E18" s="12"/>
      <c r="F18" s="12"/>
      <c r="G18" s="25"/>
      <c r="H18" s="42"/>
      <c r="I18" s="26"/>
      <c r="J18" s="16"/>
      <c r="K18" s="12"/>
      <c r="L18" s="12"/>
      <c r="M18" s="12"/>
      <c r="N18" s="37"/>
      <c r="O18" s="55">
        <f t="shared" si="4"/>
        <v>0</v>
      </c>
      <c r="P18" s="67">
        <f t="shared" si="5"/>
        <v>0</v>
      </c>
      <c r="Q18" s="68">
        <f t="shared" si="6"/>
        <v>0</v>
      </c>
    </row>
    <row r="19" spans="1:17" ht="33.75" customHeight="1">
      <c r="A19" s="84" t="str">
        <f>'DIA 03'!A19</f>
        <v>ZN</v>
      </c>
      <c r="B19" s="24"/>
      <c r="C19" s="60"/>
      <c r="D19" s="71"/>
      <c r="E19" s="12"/>
      <c r="F19" s="12"/>
      <c r="G19" s="25"/>
      <c r="H19" s="42"/>
      <c r="I19" s="26"/>
      <c r="J19" s="16"/>
      <c r="K19" s="12"/>
      <c r="L19" s="12"/>
      <c r="M19" s="12"/>
      <c r="N19" s="37"/>
      <c r="O19" s="55">
        <f t="shared" si="4"/>
        <v>0</v>
      </c>
      <c r="P19" s="67">
        <f t="shared" si="5"/>
        <v>0</v>
      </c>
      <c r="Q19" s="68">
        <f t="shared" si="6"/>
        <v>0</v>
      </c>
    </row>
    <row r="20" spans="1:17" ht="33.75" customHeight="1">
      <c r="A20" s="84" t="str">
        <f>'DIA 03'!A20</f>
        <v>CBP-001 (BAJO PERFIL)</v>
      </c>
      <c r="B20" s="24"/>
      <c r="C20" s="61"/>
      <c r="D20" s="72"/>
      <c r="E20" s="12"/>
      <c r="F20" s="12"/>
      <c r="G20" s="27"/>
      <c r="H20" s="42"/>
      <c r="I20" s="26"/>
      <c r="J20" s="16"/>
      <c r="K20" s="17"/>
      <c r="L20" s="17"/>
      <c r="M20" s="17"/>
      <c r="N20" s="37"/>
      <c r="O20" s="55">
        <f t="shared" si="4"/>
        <v>0</v>
      </c>
      <c r="P20" s="67">
        <f t="shared" si="5"/>
        <v>0</v>
      </c>
      <c r="Q20" s="68">
        <f t="shared" si="6"/>
        <v>0</v>
      </c>
    </row>
    <row r="21" spans="1:17" ht="33.75" customHeight="1">
      <c r="A21" s="84" t="str">
        <f>'DIA 03'!A21</f>
        <v>MG-105</v>
      </c>
      <c r="B21" s="24"/>
      <c r="C21" s="60"/>
      <c r="D21" s="71"/>
      <c r="E21" s="17"/>
      <c r="F21" s="12"/>
      <c r="G21" s="25"/>
      <c r="H21" s="42"/>
      <c r="I21" s="26"/>
      <c r="J21" s="16"/>
      <c r="K21" s="13"/>
      <c r="L21" s="13"/>
      <c r="M21" s="13"/>
      <c r="N21" s="41"/>
      <c r="O21" s="55">
        <f t="shared" si="4"/>
        <v>0</v>
      </c>
      <c r="P21" s="67">
        <f t="shared" si="5"/>
        <v>0</v>
      </c>
      <c r="Q21" s="68">
        <f t="shared" si="6"/>
        <v>0</v>
      </c>
    </row>
    <row r="22" spans="1:17" ht="33.75" customHeight="1">
      <c r="A22" s="84" t="str">
        <f>'DIA 03'!A22</f>
        <v>MG-044</v>
      </c>
      <c r="B22" s="24"/>
      <c r="C22" s="62"/>
      <c r="D22" s="57"/>
      <c r="E22" s="13"/>
      <c r="F22" s="12"/>
      <c r="G22" s="28"/>
      <c r="H22" s="42"/>
      <c r="I22" s="26"/>
      <c r="J22" s="15">
        <v>102</v>
      </c>
      <c r="K22" s="17" t="s">
        <v>93</v>
      </c>
      <c r="L22" s="17" t="s">
        <v>89</v>
      </c>
      <c r="M22" s="17" t="s">
        <v>90</v>
      </c>
      <c r="N22" s="38"/>
      <c r="O22" s="55">
        <f t="shared" si="3"/>
        <v>102</v>
      </c>
      <c r="P22" s="67">
        <f t="shared" si="1"/>
        <v>0</v>
      </c>
      <c r="Q22" s="68">
        <f t="shared" si="2"/>
        <v>0</v>
      </c>
    </row>
    <row r="23" spans="1:17" ht="33.75" customHeight="1">
      <c r="A23" s="84" t="str">
        <f>'DIA 03'!A23</f>
        <v>MG-085 (POLVORERA)</v>
      </c>
      <c r="B23" s="24"/>
      <c r="C23" s="62"/>
      <c r="D23" s="57"/>
      <c r="E23" s="13"/>
      <c r="F23" s="12"/>
      <c r="G23" s="28"/>
      <c r="H23" s="42"/>
      <c r="I23" s="26"/>
      <c r="J23" s="15"/>
      <c r="K23" s="17"/>
      <c r="L23" s="17"/>
      <c r="M23" s="17"/>
      <c r="N23" s="37"/>
      <c r="O23" s="55">
        <f t="shared" si="3"/>
        <v>0</v>
      </c>
      <c r="P23" s="67">
        <f t="shared" si="1"/>
        <v>0</v>
      </c>
      <c r="Q23" s="68">
        <f t="shared" si="2"/>
        <v>0</v>
      </c>
    </row>
    <row r="24" spans="1:17" ht="33.75" customHeight="1">
      <c r="A24" s="84" t="str">
        <f>'DIA 03'!A24</f>
        <v>MG-033 (PERSONAL)</v>
      </c>
      <c r="B24" s="24">
        <v>71434</v>
      </c>
      <c r="C24" s="62">
        <v>40</v>
      </c>
      <c r="D24" s="57" t="s">
        <v>101</v>
      </c>
      <c r="E24" s="13" t="s">
        <v>81</v>
      </c>
      <c r="F24" s="12" t="s">
        <v>82</v>
      </c>
      <c r="G24" s="28"/>
      <c r="H24" s="42"/>
      <c r="I24" s="26"/>
      <c r="J24" s="15"/>
      <c r="K24" s="17"/>
      <c r="L24" s="17"/>
      <c r="M24" s="17"/>
      <c r="N24" s="37"/>
      <c r="O24" s="55">
        <f t="shared" si="3"/>
        <v>40</v>
      </c>
      <c r="P24" s="67">
        <f t="shared" si="1"/>
        <v>-71434</v>
      </c>
      <c r="Q24" s="68">
        <f t="shared" si="2"/>
        <v>0</v>
      </c>
    </row>
    <row r="25" spans="1:17" ht="33.75" customHeight="1">
      <c r="A25" s="84" t="str">
        <f>'DIA 03'!A25</f>
        <v>MG-113</v>
      </c>
      <c r="B25" s="60"/>
      <c r="C25" s="62"/>
      <c r="D25" s="57"/>
      <c r="E25" s="13"/>
      <c r="F25" s="12"/>
      <c r="G25" s="147"/>
      <c r="H25" s="42"/>
      <c r="I25" s="26"/>
      <c r="J25" s="15"/>
      <c r="K25" s="17"/>
      <c r="L25" s="17"/>
      <c r="M25" s="17"/>
      <c r="N25" s="37"/>
      <c r="O25" s="55">
        <f t="shared" si="3"/>
        <v>0</v>
      </c>
      <c r="P25" s="67">
        <f t="shared" si="1"/>
        <v>0</v>
      </c>
      <c r="Q25" s="68">
        <f t="shared" si="2"/>
        <v>0</v>
      </c>
    </row>
    <row r="26" spans="1:17" ht="33.75" customHeight="1">
      <c r="A26" s="84" t="str">
        <f>'DIA 03'!A26</f>
        <v>MG-121</v>
      </c>
      <c r="B26" s="60">
        <v>25366</v>
      </c>
      <c r="C26" s="62">
        <v>52</v>
      </c>
      <c r="D26" s="57" t="s">
        <v>101</v>
      </c>
      <c r="E26" s="13" t="s">
        <v>81</v>
      </c>
      <c r="F26" s="12" t="s">
        <v>82</v>
      </c>
      <c r="G26" s="147"/>
      <c r="H26" s="42"/>
      <c r="I26" s="26"/>
      <c r="J26" s="15"/>
      <c r="K26" s="17"/>
      <c r="L26" s="17"/>
      <c r="M26" s="17"/>
      <c r="N26" s="37"/>
      <c r="O26" s="55">
        <f t="shared" ref="O26:O31" si="7">C26+J26</f>
        <v>52</v>
      </c>
      <c r="P26" s="67">
        <f t="shared" ref="P26:P31" si="8">G26-B26</f>
        <v>-25366</v>
      </c>
      <c r="Q26" s="68">
        <f t="shared" ref="Q26:Q31" si="9">N26-I26</f>
        <v>0</v>
      </c>
    </row>
    <row r="27" spans="1:17" ht="33.75" customHeight="1">
      <c r="A27" s="84" t="str">
        <f>'DIA 03'!A27</f>
        <v>MG-086</v>
      </c>
      <c r="B27" s="60"/>
      <c r="C27" s="62"/>
      <c r="D27" s="57"/>
      <c r="E27" s="13"/>
      <c r="F27" s="12"/>
      <c r="G27" s="147"/>
      <c r="H27" s="42"/>
      <c r="I27" s="26"/>
      <c r="J27" s="15"/>
      <c r="K27" s="17"/>
      <c r="L27" s="17"/>
      <c r="M27" s="17"/>
      <c r="N27" s="37"/>
      <c r="O27" s="55">
        <f t="shared" si="7"/>
        <v>0</v>
      </c>
      <c r="P27" s="67">
        <f t="shared" si="8"/>
        <v>0</v>
      </c>
      <c r="Q27" s="68">
        <f t="shared" si="9"/>
        <v>0</v>
      </c>
    </row>
    <row r="28" spans="1:17" ht="33.75" customHeight="1">
      <c r="A28" s="84" t="str">
        <f>'DIA 03'!A28</f>
        <v>MG-111</v>
      </c>
      <c r="B28" s="60"/>
      <c r="C28" s="62"/>
      <c r="D28" s="57"/>
      <c r="E28" s="13"/>
      <c r="F28" s="12"/>
      <c r="G28" s="147"/>
      <c r="H28" s="42"/>
      <c r="I28" s="26"/>
      <c r="J28" s="15"/>
      <c r="K28" s="17"/>
      <c r="L28" s="17"/>
      <c r="M28" s="17"/>
      <c r="N28" s="37"/>
      <c r="O28" s="55">
        <f t="shared" si="7"/>
        <v>0</v>
      </c>
      <c r="P28" s="67">
        <f t="shared" si="8"/>
        <v>0</v>
      </c>
      <c r="Q28" s="68">
        <f t="shared" si="9"/>
        <v>0</v>
      </c>
    </row>
    <row r="29" spans="1:17" ht="33.75" customHeight="1">
      <c r="A29" s="84" t="str">
        <f>'DIA 03'!A29</f>
        <v>MG-120</v>
      </c>
      <c r="B29" s="60"/>
      <c r="C29" s="62"/>
      <c r="D29" s="57"/>
      <c r="E29" s="13"/>
      <c r="F29" s="12"/>
      <c r="G29" s="147"/>
      <c r="H29" s="42"/>
      <c r="I29" s="26"/>
      <c r="J29" s="15"/>
      <c r="K29" s="17"/>
      <c r="L29" s="17"/>
      <c r="M29" s="17"/>
      <c r="N29" s="37"/>
      <c r="O29" s="55">
        <f t="shared" si="7"/>
        <v>0</v>
      </c>
      <c r="P29" s="67">
        <f t="shared" si="8"/>
        <v>0</v>
      </c>
      <c r="Q29" s="68">
        <f t="shared" si="9"/>
        <v>0</v>
      </c>
    </row>
    <row r="30" spans="1:17" ht="33.75" customHeight="1">
      <c r="A30" s="84" t="str">
        <f>'DIA 03'!A30</f>
        <v>PROSERMIN</v>
      </c>
      <c r="B30" s="60"/>
      <c r="C30" s="62">
        <v>247</v>
      </c>
      <c r="D30" s="57"/>
      <c r="E30" s="13"/>
      <c r="F30" s="12"/>
      <c r="G30" s="147"/>
      <c r="H30" s="42"/>
      <c r="I30" s="26"/>
      <c r="J30" s="15">
        <v>138</v>
      </c>
      <c r="K30" s="17"/>
      <c r="L30" s="17"/>
      <c r="M30" s="17"/>
      <c r="N30" s="37"/>
      <c r="O30" s="55">
        <f t="shared" si="7"/>
        <v>385</v>
      </c>
      <c r="P30" s="67">
        <f t="shared" si="8"/>
        <v>0</v>
      </c>
      <c r="Q30" s="68">
        <f t="shared" si="9"/>
        <v>0</v>
      </c>
    </row>
    <row r="31" spans="1:17" ht="33.75" customHeight="1">
      <c r="A31" s="84" t="str">
        <f>'DIA 03'!A31</f>
        <v>ST-060</v>
      </c>
      <c r="B31" s="16"/>
      <c r="C31" s="16"/>
      <c r="D31" s="17"/>
      <c r="E31" s="17"/>
      <c r="F31" s="17"/>
      <c r="G31" s="16"/>
      <c r="H31" s="42"/>
      <c r="I31" s="26"/>
      <c r="J31" s="16"/>
      <c r="K31" s="17"/>
      <c r="L31" s="17"/>
      <c r="M31" s="17"/>
      <c r="N31" s="37"/>
      <c r="O31" s="55">
        <f t="shared" si="7"/>
        <v>0</v>
      </c>
      <c r="P31" s="67">
        <f t="shared" si="8"/>
        <v>0</v>
      </c>
      <c r="Q31" s="68">
        <f t="shared" si="9"/>
        <v>0</v>
      </c>
    </row>
    <row r="32" spans="1:17" ht="33.75" customHeight="1">
      <c r="A32" s="84" t="str">
        <f>'DIA 03'!A32</f>
        <v>ST-53</v>
      </c>
      <c r="B32" s="16"/>
      <c r="C32" s="16"/>
      <c r="D32" s="17"/>
      <c r="E32" s="17"/>
      <c r="F32" s="17"/>
      <c r="G32" s="16"/>
      <c r="H32" s="42"/>
      <c r="I32" s="26"/>
      <c r="J32" s="16"/>
      <c r="K32" s="17"/>
      <c r="L32" s="17"/>
      <c r="M32" s="17"/>
      <c r="N32" s="37"/>
      <c r="O32" s="55">
        <f t="shared" si="3"/>
        <v>0</v>
      </c>
      <c r="P32" s="67">
        <f t="shared" ref="P32:P34" si="10">G32-B32</f>
        <v>0</v>
      </c>
      <c r="Q32" s="68">
        <f t="shared" ref="Q32:Q34" si="11">N32-I32</f>
        <v>0</v>
      </c>
    </row>
    <row r="33" spans="1:21" ht="33.75" customHeight="1">
      <c r="A33" s="84" t="str">
        <f>'DIA 03'!A33</f>
        <v>ST-039</v>
      </c>
      <c r="B33" s="16">
        <v>9421</v>
      </c>
      <c r="C33" s="16">
        <v>88</v>
      </c>
      <c r="D33" s="17" t="s">
        <v>83</v>
      </c>
      <c r="E33" s="17" t="s">
        <v>81</v>
      </c>
      <c r="F33" s="17" t="s">
        <v>82</v>
      </c>
      <c r="G33" s="16"/>
      <c r="H33" s="43"/>
      <c r="I33" s="26"/>
      <c r="J33" s="16"/>
      <c r="K33" s="17"/>
      <c r="L33" s="17"/>
      <c r="M33" s="17"/>
      <c r="N33" s="37"/>
      <c r="O33" s="55">
        <f t="shared" si="3"/>
        <v>88</v>
      </c>
      <c r="P33" s="67">
        <f t="shared" si="10"/>
        <v>-9421</v>
      </c>
      <c r="Q33" s="68">
        <f t="shared" si="11"/>
        <v>0</v>
      </c>
    </row>
    <row r="34" spans="1:21" ht="33.75" customHeight="1" thickBot="1">
      <c r="A34" s="84" t="str">
        <f>'DIA 03'!A34</f>
        <v>JL-025</v>
      </c>
      <c r="B34" s="16"/>
      <c r="C34" s="16"/>
      <c r="D34" s="17"/>
      <c r="E34" s="17"/>
      <c r="F34" s="17"/>
      <c r="G34" s="16"/>
      <c r="H34" s="44"/>
      <c r="I34" s="26"/>
      <c r="J34" s="16"/>
      <c r="K34" s="17"/>
      <c r="L34" s="17"/>
      <c r="M34" s="17"/>
      <c r="N34" s="17"/>
      <c r="O34" s="55">
        <f t="shared" si="3"/>
        <v>0</v>
      </c>
      <c r="P34" s="67">
        <f t="shared" si="10"/>
        <v>0</v>
      </c>
      <c r="Q34" s="68">
        <f t="shared" si="11"/>
        <v>0</v>
      </c>
    </row>
    <row r="35" spans="1:21" ht="39" customHeight="1" thickBot="1">
      <c r="A35" s="83" t="s">
        <v>0</v>
      </c>
      <c r="B35" s="11"/>
      <c r="C35" s="83">
        <f>SUM(C7:C34)</f>
        <v>783</v>
      </c>
      <c r="D35" s="10"/>
      <c r="E35" s="11"/>
      <c r="F35" s="11"/>
      <c r="G35" s="11"/>
      <c r="H35" s="11"/>
      <c r="I35" s="11"/>
      <c r="J35" s="100">
        <f>SUM(J7:J34)</f>
        <v>498</v>
      </c>
      <c r="K35" s="50"/>
      <c r="L35" s="50"/>
      <c r="M35" s="49"/>
      <c r="N35" s="49"/>
      <c r="O35" s="85">
        <f>C35+J35</f>
        <v>1281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O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109" priority="1" operator="containsText" text="NO TRABAJO">
      <formula>NOT(ISERROR(SEARCH("NO TRABAJO",O7)))</formula>
    </cfRule>
    <cfRule type="containsText" dxfId="108" priority="2" operator="containsText" text="FUERA DE SERVICIO">
      <formula>NOT(ISERROR(SEARCH("FUERA DE SERVICIO",O7)))</formula>
    </cfRule>
    <cfRule type="containsText" dxfId="107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EC52-91BC-498E-BEAB-10EC5A407E8B}">
  <sheetPr>
    <pageSetUpPr fitToPage="1"/>
  </sheetPr>
  <dimension ref="A1:U56"/>
  <sheetViews>
    <sheetView showGridLines="0" view="pageBreakPreview" topLeftCell="A13" zoomScale="50" zoomScaleNormal="100" zoomScaleSheetLayoutView="50" workbookViewId="0">
      <selection activeCell="J10" sqref="J10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04'!Q2+O2</f>
        <v>9086</v>
      </c>
      <c r="Q2" s="160">
        <f>P2-O35</f>
        <v>7903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70"/>
      <c r="P4" s="77"/>
      <c r="Q4" s="78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71"/>
      <c r="P5" s="79"/>
      <c r="Q5" s="80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112" t="s">
        <v>33</v>
      </c>
      <c r="O6" s="114" t="str">
        <f>'DIA 04'!O6</f>
        <v>CONSUMO X DIA</v>
      </c>
      <c r="P6" s="113" t="s">
        <v>31</v>
      </c>
      <c r="Q6" s="53" t="s">
        <v>32</v>
      </c>
    </row>
    <row r="7" spans="1:17" ht="33.75" customHeight="1">
      <c r="A7" s="84" t="str">
        <f>'DIA 04'!A7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107"/>
      <c r="O7" s="56">
        <f>C7+J7</f>
        <v>0</v>
      </c>
      <c r="P7" s="106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04'!A8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107"/>
      <c r="O8" s="56">
        <f t="shared" ref="O8:O34" si="3">C8+J8</f>
        <v>0</v>
      </c>
      <c r="P8" s="106">
        <f t="shared" si="1"/>
        <v>0</v>
      </c>
      <c r="Q8" s="68">
        <f t="shared" si="2"/>
        <v>0</v>
      </c>
    </row>
    <row r="9" spans="1:17" ht="33.75" customHeight="1">
      <c r="A9" s="84" t="str">
        <f>'DIA 04'!A9</f>
        <v>ST-036 R1300</v>
      </c>
      <c r="B9" s="24">
        <v>8971.7999999999993</v>
      </c>
      <c r="C9" s="61">
        <v>153</v>
      </c>
      <c r="D9" s="72" t="s">
        <v>82</v>
      </c>
      <c r="E9" s="12" t="s">
        <v>81</v>
      </c>
      <c r="F9" s="12" t="s">
        <v>82</v>
      </c>
      <c r="G9" s="27"/>
      <c r="H9" s="42"/>
      <c r="I9" s="26">
        <v>8980</v>
      </c>
      <c r="J9" s="14">
        <v>94</v>
      </c>
      <c r="K9" s="12" t="s">
        <v>88</v>
      </c>
      <c r="L9" s="12" t="s">
        <v>89</v>
      </c>
      <c r="M9" s="12" t="s">
        <v>90</v>
      </c>
      <c r="N9" s="107"/>
      <c r="O9" s="56">
        <f t="shared" si="3"/>
        <v>247</v>
      </c>
      <c r="P9" s="106">
        <f t="shared" si="1"/>
        <v>-8971.7999999999993</v>
      </c>
      <c r="Q9" s="68">
        <f t="shared" si="2"/>
        <v>-8980</v>
      </c>
    </row>
    <row r="10" spans="1:17" ht="33.75" customHeight="1">
      <c r="A10" s="84" t="str">
        <f>'DIA 04'!A10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107"/>
      <c r="O10" s="56">
        <f t="shared" ref="O10:O21" si="4">C10+J10</f>
        <v>0</v>
      </c>
      <c r="P10" s="106">
        <f t="shared" ref="P10:P21" si="5">G10-B10</f>
        <v>0</v>
      </c>
      <c r="Q10" s="68">
        <f t="shared" ref="Q10:Q21" si="6">N10-I10</f>
        <v>0</v>
      </c>
    </row>
    <row r="11" spans="1:17" ht="33.75" customHeight="1">
      <c r="A11" s="84" t="str">
        <f>'DIA 04'!A11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107"/>
      <c r="O11" s="56">
        <f t="shared" si="4"/>
        <v>0</v>
      </c>
      <c r="P11" s="106">
        <f t="shared" si="5"/>
        <v>0</v>
      </c>
      <c r="Q11" s="68">
        <f t="shared" si="6"/>
        <v>0</v>
      </c>
    </row>
    <row r="12" spans="1:17" ht="33.75" customHeight="1">
      <c r="A12" s="84" t="str">
        <f>'DIA 04'!A12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107"/>
      <c r="O12" s="56">
        <f t="shared" si="4"/>
        <v>0</v>
      </c>
      <c r="P12" s="106">
        <f t="shared" si="5"/>
        <v>0</v>
      </c>
      <c r="Q12" s="68">
        <f t="shared" si="6"/>
        <v>0</v>
      </c>
    </row>
    <row r="13" spans="1:17" ht="33.75" customHeight="1">
      <c r="A13" s="84" t="str">
        <f>'DIA 04'!A13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107"/>
      <c r="O13" s="56">
        <f t="shared" si="4"/>
        <v>0</v>
      </c>
      <c r="P13" s="106">
        <f t="shared" si="5"/>
        <v>0</v>
      </c>
      <c r="Q13" s="68">
        <f t="shared" si="6"/>
        <v>0</v>
      </c>
    </row>
    <row r="14" spans="1:17" ht="33.75" customHeight="1">
      <c r="A14" s="84" t="str">
        <f>'DIA 04'!A14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107"/>
      <c r="O14" s="56">
        <f t="shared" si="4"/>
        <v>0</v>
      </c>
      <c r="P14" s="106">
        <f t="shared" si="5"/>
        <v>0</v>
      </c>
      <c r="Q14" s="68">
        <f t="shared" si="6"/>
        <v>0</v>
      </c>
    </row>
    <row r="15" spans="1:17" ht="33.75" customHeight="1">
      <c r="A15" s="84" t="str">
        <f>'DIA 04'!A15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107"/>
      <c r="O15" s="56">
        <f t="shared" si="4"/>
        <v>0</v>
      </c>
      <c r="P15" s="106">
        <f t="shared" si="5"/>
        <v>0</v>
      </c>
      <c r="Q15" s="68">
        <f t="shared" si="6"/>
        <v>0</v>
      </c>
    </row>
    <row r="16" spans="1:17" ht="33.75" customHeight="1">
      <c r="A16" s="84" t="str">
        <f>'DIA 04'!A16</f>
        <v>JA-004 CANNON</v>
      </c>
      <c r="B16" s="24"/>
      <c r="C16" s="61"/>
      <c r="D16" s="72"/>
      <c r="E16" s="12"/>
      <c r="F16" s="12"/>
      <c r="G16" s="25"/>
      <c r="H16" s="42"/>
      <c r="I16" s="26"/>
      <c r="J16" s="14"/>
      <c r="K16" s="12"/>
      <c r="L16" s="12"/>
      <c r="M16" s="12"/>
      <c r="N16" s="107"/>
      <c r="O16" s="56">
        <f t="shared" si="4"/>
        <v>0</v>
      </c>
      <c r="P16" s="106">
        <f t="shared" si="5"/>
        <v>0</v>
      </c>
      <c r="Q16" s="68">
        <f t="shared" si="6"/>
        <v>0</v>
      </c>
    </row>
    <row r="17" spans="1:17" ht="33.75" customHeight="1">
      <c r="A17" s="84" t="str">
        <f>'DIA 04'!A17</f>
        <v>RE-009 (RETROEXCAVADORA)</v>
      </c>
      <c r="B17" s="24"/>
      <c r="C17" s="60"/>
      <c r="D17" s="71"/>
      <c r="E17" s="12"/>
      <c r="F17" s="12"/>
      <c r="G17" s="25"/>
      <c r="H17" s="42"/>
      <c r="I17" s="26">
        <v>6628.4</v>
      </c>
      <c r="J17" s="16">
        <v>91</v>
      </c>
      <c r="K17" s="12" t="s">
        <v>87</v>
      </c>
      <c r="L17" s="12" t="s">
        <v>102</v>
      </c>
      <c r="M17" s="12" t="s">
        <v>90</v>
      </c>
      <c r="N17" s="107"/>
      <c r="O17" s="56">
        <f t="shared" si="4"/>
        <v>91</v>
      </c>
      <c r="P17" s="106">
        <f t="shared" si="5"/>
        <v>0</v>
      </c>
      <c r="Q17" s="68">
        <f t="shared" si="6"/>
        <v>-6628.4</v>
      </c>
    </row>
    <row r="18" spans="1:17" ht="33.75" customHeight="1">
      <c r="A18" s="84" t="str">
        <f>'DIA 04'!A18</f>
        <v>RE-010 (RETROEXCAVADORA)</v>
      </c>
      <c r="B18" s="24"/>
      <c r="C18" s="60"/>
      <c r="D18" s="71"/>
      <c r="E18" s="12"/>
      <c r="F18" s="12"/>
      <c r="G18" s="25"/>
      <c r="H18" s="42"/>
      <c r="I18" s="26"/>
      <c r="J18" s="16"/>
      <c r="K18" s="12"/>
      <c r="L18" s="12"/>
      <c r="M18" s="12"/>
      <c r="N18" s="107"/>
      <c r="O18" s="56">
        <f t="shared" si="4"/>
        <v>0</v>
      </c>
      <c r="P18" s="106">
        <f t="shared" si="5"/>
        <v>0</v>
      </c>
      <c r="Q18" s="68">
        <f t="shared" si="6"/>
        <v>0</v>
      </c>
    </row>
    <row r="19" spans="1:17" ht="33.75" customHeight="1">
      <c r="A19" s="84" t="str">
        <f>'DIA 04'!A19</f>
        <v>ZN</v>
      </c>
      <c r="B19" s="24"/>
      <c r="C19" s="60"/>
      <c r="D19" s="71"/>
      <c r="E19" s="12"/>
      <c r="F19" s="12"/>
      <c r="G19" s="25"/>
      <c r="H19" s="42"/>
      <c r="I19" s="26"/>
      <c r="J19" s="16"/>
      <c r="K19" s="12"/>
      <c r="L19" s="12"/>
      <c r="M19" s="12"/>
      <c r="N19" s="107"/>
      <c r="O19" s="56">
        <f t="shared" si="4"/>
        <v>0</v>
      </c>
      <c r="P19" s="106">
        <f t="shared" si="5"/>
        <v>0</v>
      </c>
      <c r="Q19" s="68">
        <f t="shared" si="6"/>
        <v>0</v>
      </c>
    </row>
    <row r="20" spans="1:17" ht="33.75" customHeight="1">
      <c r="A20" s="84" t="str">
        <f>'DIA 04'!A20</f>
        <v>CBP-001 (BAJO PERFIL)</v>
      </c>
      <c r="B20" s="24"/>
      <c r="C20" s="61"/>
      <c r="D20" s="72"/>
      <c r="E20" s="12"/>
      <c r="F20" s="12"/>
      <c r="G20" s="27"/>
      <c r="H20" s="42"/>
      <c r="I20" s="26"/>
      <c r="J20" s="16"/>
      <c r="K20" s="17"/>
      <c r="L20" s="17"/>
      <c r="M20" s="17"/>
      <c r="N20" s="107"/>
      <c r="O20" s="56">
        <f t="shared" si="4"/>
        <v>0</v>
      </c>
      <c r="P20" s="106">
        <f t="shared" si="5"/>
        <v>0</v>
      </c>
      <c r="Q20" s="68">
        <f t="shared" si="6"/>
        <v>0</v>
      </c>
    </row>
    <row r="21" spans="1:17" ht="33.75" customHeight="1">
      <c r="A21" s="84" t="str">
        <f>'DIA 04'!A21</f>
        <v>MG-105</v>
      </c>
      <c r="B21" s="24"/>
      <c r="C21" s="60"/>
      <c r="D21" s="71"/>
      <c r="E21" s="17"/>
      <c r="F21" s="12"/>
      <c r="G21" s="25"/>
      <c r="H21" s="42"/>
      <c r="I21" s="26"/>
      <c r="J21" s="16"/>
      <c r="K21" s="13"/>
      <c r="L21" s="13"/>
      <c r="M21" s="13"/>
      <c r="N21" s="108"/>
      <c r="O21" s="56">
        <f t="shared" si="4"/>
        <v>0</v>
      </c>
      <c r="P21" s="106">
        <f t="shared" si="5"/>
        <v>0</v>
      </c>
      <c r="Q21" s="68">
        <f t="shared" si="6"/>
        <v>0</v>
      </c>
    </row>
    <row r="22" spans="1:17" ht="33.75" customHeight="1">
      <c r="A22" s="84" t="str">
        <f>'DIA 04'!A22</f>
        <v>MG-044</v>
      </c>
      <c r="B22" s="24"/>
      <c r="C22" s="62"/>
      <c r="D22" s="57"/>
      <c r="E22" s="13"/>
      <c r="F22" s="12"/>
      <c r="G22" s="28"/>
      <c r="H22" s="42"/>
      <c r="I22" s="26"/>
      <c r="J22" s="15"/>
      <c r="K22" s="13"/>
      <c r="L22" s="13"/>
      <c r="M22" s="13"/>
      <c r="N22" s="109"/>
      <c r="O22" s="56">
        <f t="shared" si="3"/>
        <v>0</v>
      </c>
      <c r="P22" s="106">
        <f t="shared" si="1"/>
        <v>0</v>
      </c>
      <c r="Q22" s="68">
        <f t="shared" si="2"/>
        <v>0</v>
      </c>
    </row>
    <row r="23" spans="1:17" ht="33.75" customHeight="1">
      <c r="A23" s="84" t="str">
        <f>'DIA 04'!A23</f>
        <v>MG-085 (POLVORERA)</v>
      </c>
      <c r="B23" s="24"/>
      <c r="C23" s="62"/>
      <c r="D23" s="57"/>
      <c r="E23" s="13"/>
      <c r="F23" s="12"/>
      <c r="G23" s="28"/>
      <c r="H23" s="42"/>
      <c r="I23" s="26"/>
      <c r="J23" s="15"/>
      <c r="K23" s="13"/>
      <c r="L23" s="13"/>
      <c r="M23" s="13"/>
      <c r="N23" s="108"/>
      <c r="O23" s="56">
        <f t="shared" si="3"/>
        <v>0</v>
      </c>
      <c r="P23" s="106">
        <f t="shared" si="1"/>
        <v>0</v>
      </c>
      <c r="Q23" s="68">
        <f t="shared" si="2"/>
        <v>0</v>
      </c>
    </row>
    <row r="24" spans="1:17" ht="33.75" customHeight="1">
      <c r="A24" s="84" t="str">
        <f>'DIA 04'!A24</f>
        <v>MG-033 (PERSONAL)</v>
      </c>
      <c r="B24" s="24"/>
      <c r="C24" s="62"/>
      <c r="D24" s="57"/>
      <c r="E24" s="13"/>
      <c r="F24" s="12"/>
      <c r="G24" s="28"/>
      <c r="H24" s="42"/>
      <c r="I24" s="26"/>
      <c r="J24" s="15"/>
      <c r="K24" s="13"/>
      <c r="L24" s="13"/>
      <c r="M24" s="13"/>
      <c r="N24" s="109"/>
      <c r="O24" s="56">
        <f t="shared" ref="O24:O30" si="7">C24+J24</f>
        <v>0</v>
      </c>
      <c r="P24" s="106">
        <f t="shared" ref="P24:P30" si="8">G24-B24</f>
        <v>0</v>
      </c>
      <c r="Q24" s="68">
        <f t="shared" ref="Q24:Q30" si="9">N24-I24</f>
        <v>0</v>
      </c>
    </row>
    <row r="25" spans="1:17" ht="33.75" customHeight="1">
      <c r="A25" s="84" t="str">
        <f>'DIA 04'!A25</f>
        <v>MG-113</v>
      </c>
      <c r="B25" s="24"/>
      <c r="C25" s="62"/>
      <c r="D25" s="57"/>
      <c r="E25" s="13"/>
      <c r="F25" s="12"/>
      <c r="G25" s="28"/>
      <c r="H25" s="42"/>
      <c r="I25" s="26"/>
      <c r="J25" s="15"/>
      <c r="K25" s="13"/>
      <c r="L25" s="13"/>
      <c r="M25" s="13"/>
      <c r="N25" s="108"/>
      <c r="O25" s="56">
        <f t="shared" si="7"/>
        <v>0</v>
      </c>
      <c r="P25" s="106">
        <f t="shared" si="8"/>
        <v>0</v>
      </c>
      <c r="Q25" s="68">
        <f t="shared" si="9"/>
        <v>0</v>
      </c>
    </row>
    <row r="26" spans="1:17" ht="33.75" customHeight="1">
      <c r="A26" s="84" t="str">
        <f>'DIA 04'!A26</f>
        <v>MG-121</v>
      </c>
      <c r="B26" s="24">
        <v>25397</v>
      </c>
      <c r="C26" s="62">
        <v>5</v>
      </c>
      <c r="D26" s="57" t="s">
        <v>95</v>
      </c>
      <c r="E26" s="13"/>
      <c r="F26" s="12"/>
      <c r="G26" s="28"/>
      <c r="H26" s="42"/>
      <c r="I26" s="26"/>
      <c r="J26" s="15"/>
      <c r="K26" s="13"/>
      <c r="L26" s="13"/>
      <c r="M26" s="13"/>
      <c r="N26" s="109"/>
      <c r="O26" s="56">
        <f t="shared" si="7"/>
        <v>5</v>
      </c>
      <c r="P26" s="106">
        <f t="shared" si="8"/>
        <v>-25397</v>
      </c>
      <c r="Q26" s="68">
        <f t="shared" si="9"/>
        <v>0</v>
      </c>
    </row>
    <row r="27" spans="1:17" ht="33.75" customHeight="1">
      <c r="A27" s="84" t="str">
        <f>'DIA 04'!A27</f>
        <v>MG-086</v>
      </c>
      <c r="B27" s="24"/>
      <c r="C27" s="62"/>
      <c r="D27" s="57"/>
      <c r="E27" s="13"/>
      <c r="F27" s="12"/>
      <c r="G27" s="28"/>
      <c r="H27" s="42"/>
      <c r="I27" s="26"/>
      <c r="J27" s="15"/>
      <c r="K27" s="13"/>
      <c r="L27" s="13"/>
      <c r="M27" s="13"/>
      <c r="N27" s="108"/>
      <c r="O27" s="56">
        <f t="shared" si="7"/>
        <v>0</v>
      </c>
      <c r="P27" s="106">
        <f t="shared" si="8"/>
        <v>0</v>
      </c>
      <c r="Q27" s="68">
        <f t="shared" si="9"/>
        <v>0</v>
      </c>
    </row>
    <row r="28" spans="1:17" ht="33.75" customHeight="1">
      <c r="A28" s="84" t="str">
        <f>'DIA 04'!A28</f>
        <v>MG-111</v>
      </c>
      <c r="B28" s="24"/>
      <c r="C28" s="62"/>
      <c r="D28" s="57"/>
      <c r="E28" s="13"/>
      <c r="F28" s="12"/>
      <c r="G28" s="28"/>
      <c r="H28" s="42"/>
      <c r="I28" s="26"/>
      <c r="J28" s="15"/>
      <c r="K28" s="13"/>
      <c r="L28" s="13"/>
      <c r="M28" s="13"/>
      <c r="N28" s="109"/>
      <c r="O28" s="56">
        <f t="shared" si="7"/>
        <v>0</v>
      </c>
      <c r="P28" s="106">
        <f t="shared" si="8"/>
        <v>0</v>
      </c>
      <c r="Q28" s="68">
        <f t="shared" si="9"/>
        <v>0</v>
      </c>
    </row>
    <row r="29" spans="1:17" ht="33.75" customHeight="1">
      <c r="A29" s="84" t="str">
        <f>'DIA 04'!A29</f>
        <v>MG-120</v>
      </c>
      <c r="B29" s="24"/>
      <c r="C29" s="62"/>
      <c r="D29" s="57"/>
      <c r="E29" s="13"/>
      <c r="F29" s="12"/>
      <c r="G29" s="28"/>
      <c r="H29" s="42"/>
      <c r="I29" s="26"/>
      <c r="J29" s="15"/>
      <c r="K29" s="13"/>
      <c r="L29" s="13"/>
      <c r="M29" s="13"/>
      <c r="N29" s="108"/>
      <c r="O29" s="56">
        <f t="shared" si="7"/>
        <v>0</v>
      </c>
      <c r="P29" s="106">
        <f t="shared" si="8"/>
        <v>0</v>
      </c>
      <c r="Q29" s="68">
        <f t="shared" si="9"/>
        <v>0</v>
      </c>
    </row>
    <row r="30" spans="1:17" ht="33.75" customHeight="1">
      <c r="A30" s="84" t="str">
        <f>'DIA 04'!A30</f>
        <v>PROSERMIN</v>
      </c>
      <c r="B30" s="24"/>
      <c r="C30" s="62">
        <v>270</v>
      </c>
      <c r="D30" s="57"/>
      <c r="E30" s="13"/>
      <c r="F30" s="12"/>
      <c r="G30" s="28"/>
      <c r="H30" s="42"/>
      <c r="I30" s="26"/>
      <c r="J30" s="15">
        <v>290</v>
      </c>
      <c r="K30" s="13"/>
      <c r="L30" s="13"/>
      <c r="M30" s="13"/>
      <c r="N30" s="109"/>
      <c r="O30" s="56">
        <f t="shared" si="7"/>
        <v>560</v>
      </c>
      <c r="P30" s="106">
        <f t="shared" si="8"/>
        <v>0</v>
      </c>
      <c r="Q30" s="68">
        <f t="shared" si="9"/>
        <v>0</v>
      </c>
    </row>
    <row r="31" spans="1:17" ht="33.75" customHeight="1">
      <c r="A31" s="84" t="str">
        <f>'DIA 04'!A31</f>
        <v>ST-060</v>
      </c>
      <c r="B31" s="24"/>
      <c r="C31" s="62"/>
      <c r="D31" s="57"/>
      <c r="E31" s="13"/>
      <c r="F31" s="12"/>
      <c r="G31" s="28"/>
      <c r="H31" s="42"/>
      <c r="I31" s="26"/>
      <c r="J31" s="15"/>
      <c r="K31" s="13"/>
      <c r="L31" s="13"/>
      <c r="M31" s="13"/>
      <c r="N31" s="108"/>
      <c r="O31" s="56">
        <f t="shared" si="3"/>
        <v>0</v>
      </c>
      <c r="P31" s="106">
        <f t="shared" ref="P31:P33" si="10">G31-B31</f>
        <v>0</v>
      </c>
      <c r="Q31" s="68">
        <f t="shared" ref="Q31:Q33" si="11">N31-I31</f>
        <v>0</v>
      </c>
    </row>
    <row r="32" spans="1:17" ht="33.75" customHeight="1">
      <c r="A32" s="84" t="str">
        <f>'DIA 04'!A32</f>
        <v>ST-53</v>
      </c>
      <c r="B32" s="24"/>
      <c r="C32" s="62"/>
      <c r="D32" s="57"/>
      <c r="E32" s="13"/>
      <c r="F32" s="12"/>
      <c r="G32" s="28"/>
      <c r="H32" s="42"/>
      <c r="I32" s="26"/>
      <c r="J32" s="15"/>
      <c r="K32" s="13"/>
      <c r="L32" s="13"/>
      <c r="M32" s="13"/>
      <c r="N32" s="108"/>
      <c r="O32" s="56">
        <f t="shared" si="3"/>
        <v>0</v>
      </c>
      <c r="P32" s="106">
        <f t="shared" si="10"/>
        <v>0</v>
      </c>
      <c r="Q32" s="68">
        <f t="shared" si="11"/>
        <v>0</v>
      </c>
    </row>
    <row r="33" spans="1:21" ht="33.75" customHeight="1">
      <c r="A33" s="84" t="str">
        <f>'DIA 04'!A33</f>
        <v>ST-039</v>
      </c>
      <c r="B33" s="24">
        <v>960418</v>
      </c>
      <c r="C33" s="62">
        <v>146</v>
      </c>
      <c r="D33" s="57" t="s">
        <v>80</v>
      </c>
      <c r="E33" s="13" t="s">
        <v>81</v>
      </c>
      <c r="F33" s="12" t="s">
        <v>82</v>
      </c>
      <c r="G33" s="28"/>
      <c r="H33" s="43"/>
      <c r="I33" s="26">
        <v>9609</v>
      </c>
      <c r="J33" s="15">
        <v>134</v>
      </c>
      <c r="K33" s="13" t="s">
        <v>91</v>
      </c>
      <c r="L33" s="13" t="s">
        <v>89</v>
      </c>
      <c r="M33" s="13" t="s">
        <v>90</v>
      </c>
      <c r="N33" s="108"/>
      <c r="O33" s="56">
        <f t="shared" si="3"/>
        <v>280</v>
      </c>
      <c r="P33" s="106">
        <f t="shared" si="10"/>
        <v>-960418</v>
      </c>
      <c r="Q33" s="68">
        <f t="shared" si="11"/>
        <v>-9609</v>
      </c>
    </row>
    <row r="34" spans="1:21" ht="33.75" customHeight="1" thickBot="1">
      <c r="A34" s="84" t="str">
        <f>'DIA 04'!A34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110"/>
      <c r="O34" s="56">
        <f t="shared" si="3"/>
        <v>0</v>
      </c>
      <c r="P34" s="111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574</v>
      </c>
      <c r="D35" s="10"/>
      <c r="E35" s="11"/>
      <c r="F35" s="11"/>
      <c r="G35" s="11"/>
      <c r="H35" s="11"/>
      <c r="I35" s="11"/>
      <c r="J35" s="59">
        <f>SUM(J7:J34)</f>
        <v>609</v>
      </c>
      <c r="K35" s="50"/>
      <c r="L35" s="50"/>
      <c r="M35" s="49"/>
      <c r="N35" s="49"/>
      <c r="O35" s="104">
        <f>C35+J35</f>
        <v>1183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O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106" priority="1" operator="containsText" text="NO TRABAJO">
      <formula>NOT(ISERROR(SEARCH("NO TRABAJO",O7)))</formula>
    </cfRule>
    <cfRule type="containsText" dxfId="105" priority="2" operator="containsText" text="FUERA DE SERVICIO">
      <formula>NOT(ISERROR(SEARCH("FUERA DE SERVICIO",O7)))</formula>
    </cfRule>
    <cfRule type="containsText" dxfId="104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F534-C336-4D3C-A6D5-D95C3CC7D40F}">
  <sheetPr>
    <pageSetUpPr fitToPage="1"/>
  </sheetPr>
  <dimension ref="A1:U56"/>
  <sheetViews>
    <sheetView showGridLines="0" view="pageBreakPreview" zoomScale="50" zoomScaleNormal="100" zoomScaleSheetLayoutView="50" workbookViewId="0">
      <selection activeCell="O2" sqref="O2:O3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>
        <v>2191</v>
      </c>
      <c r="P2" s="187">
        <f>'DIA 05'!Q2+O2</f>
        <v>10094</v>
      </c>
      <c r="Q2" s="160">
        <f>P2-O35</f>
        <v>8518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70"/>
      <c r="P4" s="77"/>
      <c r="Q4" s="78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0"/>
      <c r="P5" s="79"/>
      <c r="Q5" s="80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05'!O6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05'!A7</f>
        <v>ST-031 (EPIROC 1030)</v>
      </c>
      <c r="B7" s="24">
        <v>4862.7</v>
      </c>
      <c r="C7" s="60">
        <v>248</v>
      </c>
      <c r="D7" s="71" t="s">
        <v>83</v>
      </c>
      <c r="E7" s="12" t="s">
        <v>81</v>
      </c>
      <c r="F7" s="12" t="s">
        <v>82</v>
      </c>
      <c r="G7" s="25"/>
      <c r="H7" s="42"/>
      <c r="I7" s="26"/>
      <c r="J7" s="16"/>
      <c r="K7" s="12"/>
      <c r="L7" s="12"/>
      <c r="M7" s="12"/>
      <c r="N7" s="37"/>
      <c r="O7" s="55">
        <f>C7+J7</f>
        <v>248</v>
      </c>
      <c r="P7" s="67">
        <f t="shared" ref="P7:P34" si="1">G7-B7</f>
        <v>-4862.7</v>
      </c>
      <c r="Q7" s="68">
        <f t="shared" ref="Q7:Q34" si="2">N7-I7</f>
        <v>0</v>
      </c>
    </row>
    <row r="8" spans="1:17" ht="33.75" customHeight="1">
      <c r="A8" s="84" t="str">
        <f>'DIA 05'!A8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34" si="3">C8+J8</f>
        <v>0</v>
      </c>
      <c r="P8" s="67">
        <f t="shared" si="1"/>
        <v>0</v>
      </c>
      <c r="Q8" s="68">
        <f t="shared" si="2"/>
        <v>0</v>
      </c>
    </row>
    <row r="9" spans="1:17" ht="33.75" customHeight="1">
      <c r="A9" s="84" t="str">
        <f>'DIA 05'!A9</f>
        <v>ST-036 R1300</v>
      </c>
      <c r="B9" s="24">
        <v>8987.5</v>
      </c>
      <c r="C9" s="61">
        <v>160</v>
      </c>
      <c r="D9" s="72" t="s">
        <v>82</v>
      </c>
      <c r="E9" s="12" t="s">
        <v>81</v>
      </c>
      <c r="F9" s="12" t="s">
        <v>82</v>
      </c>
      <c r="G9" s="27"/>
      <c r="H9" s="42"/>
      <c r="I9" s="26">
        <v>8996.7999999999993</v>
      </c>
      <c r="J9" s="14">
        <v>155</v>
      </c>
      <c r="K9" s="12" t="s">
        <v>88</v>
      </c>
      <c r="L9" s="12" t="s">
        <v>89</v>
      </c>
      <c r="M9" s="12" t="s">
        <v>90</v>
      </c>
      <c r="N9" s="37"/>
      <c r="O9" s="55">
        <f t="shared" si="3"/>
        <v>315</v>
      </c>
      <c r="P9" s="67">
        <f t="shared" si="1"/>
        <v>-8987.5</v>
      </c>
      <c r="Q9" s="68">
        <f t="shared" si="2"/>
        <v>-8996.7999999999993</v>
      </c>
    </row>
    <row r="10" spans="1:17" ht="33.75" customHeight="1">
      <c r="A10" s="84" t="str">
        <f>'DIA 05'!A10</f>
        <v>ST-018</v>
      </c>
      <c r="B10" s="24">
        <v>9616</v>
      </c>
      <c r="C10" s="61">
        <v>108</v>
      </c>
      <c r="D10" s="72" t="s">
        <v>80</v>
      </c>
      <c r="E10" s="12" t="s">
        <v>81</v>
      </c>
      <c r="F10" s="12" t="s">
        <v>82</v>
      </c>
      <c r="G10" s="27"/>
      <c r="H10" s="42"/>
      <c r="I10" s="26">
        <v>9621</v>
      </c>
      <c r="J10" s="14">
        <v>101</v>
      </c>
      <c r="K10" s="12" t="s">
        <v>91</v>
      </c>
      <c r="L10" s="12" t="s">
        <v>89</v>
      </c>
      <c r="M10" s="12" t="s">
        <v>90</v>
      </c>
      <c r="N10" s="37"/>
      <c r="O10" s="55">
        <f t="shared" si="3"/>
        <v>209</v>
      </c>
      <c r="P10" s="67">
        <f t="shared" si="1"/>
        <v>-9616</v>
      </c>
      <c r="Q10" s="68">
        <f t="shared" si="2"/>
        <v>-9621</v>
      </c>
    </row>
    <row r="11" spans="1:17" ht="33.75" customHeight="1">
      <c r="A11" s="84" t="str">
        <f>'DIA 05'!A11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ref="O11:O33" si="4">C11+J11</f>
        <v>0</v>
      </c>
      <c r="P11" s="67">
        <f t="shared" ref="P11:P33" si="5">G11-B11</f>
        <v>0</v>
      </c>
      <c r="Q11" s="68">
        <f t="shared" ref="Q11:Q33" si="6">N11-I11</f>
        <v>0</v>
      </c>
    </row>
    <row r="12" spans="1:17" ht="33.75" customHeight="1">
      <c r="A12" s="84" t="str">
        <f>'DIA 05'!A12</f>
        <v>JL-015 (DD311)</v>
      </c>
      <c r="B12" s="24"/>
      <c r="C12" s="61">
        <v>36</v>
      </c>
      <c r="D12" s="72" t="s">
        <v>84</v>
      </c>
      <c r="E12" s="12" t="s">
        <v>81</v>
      </c>
      <c r="F12" s="12" t="s">
        <v>82</v>
      </c>
      <c r="G12" s="27"/>
      <c r="H12" s="42"/>
      <c r="I12" s="26"/>
      <c r="J12" s="14"/>
      <c r="K12" s="12"/>
      <c r="L12" s="12"/>
      <c r="M12" s="12"/>
      <c r="N12" s="37"/>
      <c r="O12" s="55">
        <f t="shared" si="4"/>
        <v>36</v>
      </c>
      <c r="P12" s="67">
        <f t="shared" si="5"/>
        <v>0</v>
      </c>
      <c r="Q12" s="68">
        <f t="shared" si="6"/>
        <v>0</v>
      </c>
    </row>
    <row r="13" spans="1:17" ht="33.75" customHeight="1">
      <c r="A13" s="84" t="str">
        <f>'DIA 05'!A13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4"/>
        <v>0</v>
      </c>
      <c r="P13" s="67">
        <f t="shared" si="5"/>
        <v>0</v>
      </c>
      <c r="Q13" s="68">
        <f t="shared" si="6"/>
        <v>0</v>
      </c>
    </row>
    <row r="14" spans="1:17" ht="33.75" customHeight="1">
      <c r="A14" s="84" t="str">
        <f>'DIA 05'!A14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4"/>
        <v>0</v>
      </c>
      <c r="P14" s="67">
        <f t="shared" si="5"/>
        <v>0</v>
      </c>
      <c r="Q14" s="68">
        <f t="shared" si="6"/>
        <v>0</v>
      </c>
    </row>
    <row r="15" spans="1:17" ht="33.75" customHeight="1">
      <c r="A15" s="84" t="str">
        <f>'DIA 05'!A15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si="4"/>
        <v>0</v>
      </c>
      <c r="P15" s="67">
        <f t="shared" si="5"/>
        <v>0</v>
      </c>
      <c r="Q15" s="68">
        <f t="shared" si="6"/>
        <v>0</v>
      </c>
    </row>
    <row r="16" spans="1:17" ht="33.75" customHeight="1">
      <c r="A16" s="84" t="str">
        <f>'DIA 05'!A16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4"/>
        <v>0</v>
      </c>
      <c r="P16" s="67">
        <f t="shared" si="5"/>
        <v>0</v>
      </c>
      <c r="Q16" s="68">
        <f t="shared" si="6"/>
        <v>0</v>
      </c>
    </row>
    <row r="17" spans="1:17" ht="33.75" customHeight="1">
      <c r="A17" s="84" t="str">
        <f>'DIA 05'!A17</f>
        <v>RE-009 (RETROEXCAVADORA)</v>
      </c>
      <c r="B17" s="24"/>
      <c r="C17" s="61"/>
      <c r="D17" s="72"/>
      <c r="E17" s="12"/>
      <c r="F17" s="12"/>
      <c r="G17" s="25"/>
      <c r="H17" s="42"/>
      <c r="I17" s="26">
        <v>6645.3</v>
      </c>
      <c r="J17" s="14">
        <v>59</v>
      </c>
      <c r="K17" s="12" t="s">
        <v>87</v>
      </c>
      <c r="L17" s="12" t="s">
        <v>89</v>
      </c>
      <c r="M17" s="12" t="s">
        <v>90</v>
      </c>
      <c r="N17" s="37"/>
      <c r="O17" s="55">
        <f t="shared" si="4"/>
        <v>59</v>
      </c>
      <c r="P17" s="67">
        <f t="shared" si="5"/>
        <v>0</v>
      </c>
      <c r="Q17" s="68">
        <f t="shared" si="6"/>
        <v>-6645.3</v>
      </c>
    </row>
    <row r="18" spans="1:17" ht="33.75" customHeight="1">
      <c r="A18" s="84" t="str">
        <f>'DIA 05'!A18</f>
        <v>RE-010 (RETROEXCAVADORA)</v>
      </c>
      <c r="B18" s="24">
        <v>2779.6</v>
      </c>
      <c r="C18" s="61">
        <v>81</v>
      </c>
      <c r="D18" s="72" t="s">
        <v>92</v>
      </c>
      <c r="E18" s="12" t="s">
        <v>81</v>
      </c>
      <c r="F18" s="12" t="s">
        <v>82</v>
      </c>
      <c r="G18" s="25"/>
      <c r="H18" s="42"/>
      <c r="I18" s="26"/>
      <c r="J18" s="14"/>
      <c r="K18" s="12"/>
      <c r="L18" s="12"/>
      <c r="M18" s="12"/>
      <c r="N18" s="37"/>
      <c r="O18" s="55">
        <f t="shared" si="4"/>
        <v>81</v>
      </c>
      <c r="P18" s="67">
        <f t="shared" si="5"/>
        <v>-2779.6</v>
      </c>
      <c r="Q18" s="68">
        <f t="shared" si="6"/>
        <v>0</v>
      </c>
    </row>
    <row r="19" spans="1:17" ht="33.75" customHeight="1">
      <c r="A19" s="84" t="str">
        <f>'DIA 05'!A19</f>
        <v>ZN</v>
      </c>
      <c r="B19" s="24"/>
      <c r="C19" s="61"/>
      <c r="D19" s="72"/>
      <c r="E19" s="12"/>
      <c r="F19" s="12"/>
      <c r="G19" s="25"/>
      <c r="H19" s="42"/>
      <c r="I19" s="26"/>
      <c r="J19" s="14"/>
      <c r="K19" s="12"/>
      <c r="L19" s="12"/>
      <c r="M19" s="12"/>
      <c r="N19" s="37"/>
      <c r="O19" s="55">
        <f t="shared" si="4"/>
        <v>0</v>
      </c>
      <c r="P19" s="67">
        <f t="shared" si="5"/>
        <v>0</v>
      </c>
      <c r="Q19" s="68">
        <f t="shared" si="6"/>
        <v>0</v>
      </c>
    </row>
    <row r="20" spans="1:17" ht="33.75" customHeight="1">
      <c r="A20" s="84" t="str">
        <f>'DIA 05'!A20</f>
        <v>CBP-001 (BAJO PERFIL)</v>
      </c>
      <c r="B20" s="24"/>
      <c r="C20" s="61"/>
      <c r="D20" s="72"/>
      <c r="E20" s="12"/>
      <c r="F20" s="12"/>
      <c r="G20" s="25"/>
      <c r="H20" s="42"/>
      <c r="I20" s="26"/>
      <c r="J20" s="14"/>
      <c r="K20" s="12"/>
      <c r="L20" s="12"/>
      <c r="M20" s="12"/>
      <c r="N20" s="37"/>
      <c r="O20" s="55">
        <f t="shared" si="4"/>
        <v>0</v>
      </c>
      <c r="P20" s="67">
        <f t="shared" si="5"/>
        <v>0</v>
      </c>
      <c r="Q20" s="68">
        <f t="shared" si="6"/>
        <v>0</v>
      </c>
    </row>
    <row r="21" spans="1:17" ht="33.75" customHeight="1">
      <c r="A21" s="84" t="str">
        <f>'DIA 05'!A21</f>
        <v>MG-105</v>
      </c>
      <c r="B21" s="24"/>
      <c r="C21" s="61"/>
      <c r="D21" s="72"/>
      <c r="E21" s="12"/>
      <c r="F21" s="12"/>
      <c r="G21" s="25"/>
      <c r="H21" s="42"/>
      <c r="I21" s="26"/>
      <c r="J21" s="14"/>
      <c r="K21" s="12"/>
      <c r="L21" s="12"/>
      <c r="M21" s="12"/>
      <c r="N21" s="37"/>
      <c r="O21" s="55">
        <f t="shared" si="4"/>
        <v>0</v>
      </c>
      <c r="P21" s="67">
        <f t="shared" si="5"/>
        <v>0</v>
      </c>
      <c r="Q21" s="68">
        <f t="shared" si="6"/>
        <v>0</v>
      </c>
    </row>
    <row r="22" spans="1:17" ht="33.75" customHeight="1">
      <c r="A22" s="84" t="str">
        <f>'DIA 05'!A22</f>
        <v>MG-044</v>
      </c>
      <c r="B22" s="24"/>
      <c r="C22" s="61"/>
      <c r="D22" s="72"/>
      <c r="E22" s="12"/>
      <c r="F22" s="12"/>
      <c r="G22" s="25"/>
      <c r="H22" s="42"/>
      <c r="I22" s="26">
        <v>95276</v>
      </c>
      <c r="J22" s="14">
        <v>98</v>
      </c>
      <c r="K22" s="12" t="s">
        <v>93</v>
      </c>
      <c r="L22" s="12" t="s">
        <v>89</v>
      </c>
      <c r="M22" s="12" t="s">
        <v>90</v>
      </c>
      <c r="N22" s="37"/>
      <c r="O22" s="55">
        <f t="shared" si="4"/>
        <v>98</v>
      </c>
      <c r="P22" s="67">
        <f t="shared" si="5"/>
        <v>0</v>
      </c>
      <c r="Q22" s="68">
        <f t="shared" si="6"/>
        <v>-95276</v>
      </c>
    </row>
    <row r="23" spans="1:17" ht="33.75" customHeight="1">
      <c r="A23" s="84" t="str">
        <f>'DIA 05'!A23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4"/>
        <v>0</v>
      </c>
      <c r="P23" s="67">
        <f t="shared" si="5"/>
        <v>0</v>
      </c>
      <c r="Q23" s="68">
        <f t="shared" si="6"/>
        <v>0</v>
      </c>
    </row>
    <row r="24" spans="1:17" ht="33.75" customHeight="1">
      <c r="A24" s="84" t="str">
        <f>'DIA 05'!A24</f>
        <v>MG-033 (PERSONAL)</v>
      </c>
      <c r="B24" s="24">
        <v>71434</v>
      </c>
      <c r="C24" s="60">
        <v>45</v>
      </c>
      <c r="D24" s="71" t="s">
        <v>101</v>
      </c>
      <c r="E24" s="12" t="s">
        <v>81</v>
      </c>
      <c r="F24" s="12" t="s">
        <v>82</v>
      </c>
      <c r="G24" s="25"/>
      <c r="H24" s="42"/>
      <c r="I24" s="26"/>
      <c r="J24" s="16"/>
      <c r="K24" s="12"/>
      <c r="L24" s="12"/>
      <c r="M24" s="12"/>
      <c r="N24" s="37"/>
      <c r="O24" s="55">
        <f t="shared" si="4"/>
        <v>45</v>
      </c>
      <c r="P24" s="67">
        <f t="shared" si="5"/>
        <v>-71434</v>
      </c>
      <c r="Q24" s="68">
        <f t="shared" si="6"/>
        <v>0</v>
      </c>
    </row>
    <row r="25" spans="1:17" ht="33.75" customHeight="1">
      <c r="A25" s="84" t="str">
        <f>'DIA 05'!A25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4"/>
        <v>0</v>
      </c>
      <c r="P25" s="67">
        <f t="shared" si="5"/>
        <v>0</v>
      </c>
      <c r="Q25" s="68">
        <f t="shared" si="6"/>
        <v>0</v>
      </c>
    </row>
    <row r="26" spans="1:17" ht="33.75" customHeight="1">
      <c r="A26" s="84" t="str">
        <f>'DIA 05'!A26</f>
        <v>MG-121</v>
      </c>
      <c r="B26" s="24"/>
      <c r="C26" s="16"/>
      <c r="D26" s="17"/>
      <c r="E26" s="17"/>
      <c r="F26" s="17"/>
      <c r="G26" s="16"/>
      <c r="H26" s="42"/>
      <c r="I26" s="26"/>
      <c r="J26" s="16"/>
      <c r="K26" s="17"/>
      <c r="L26" s="17"/>
      <c r="M26" s="17"/>
      <c r="N26" s="37"/>
      <c r="O26" s="55">
        <f t="shared" si="4"/>
        <v>0</v>
      </c>
      <c r="P26" s="67">
        <f t="shared" si="5"/>
        <v>0</v>
      </c>
      <c r="Q26" s="68">
        <f t="shared" si="6"/>
        <v>0</v>
      </c>
    </row>
    <row r="27" spans="1:17" ht="33.75" customHeight="1">
      <c r="A27" s="84" t="str">
        <f>'DIA 05'!A27</f>
        <v>MG-086</v>
      </c>
      <c r="B27" s="24"/>
      <c r="C27" s="16"/>
      <c r="D27" s="17"/>
      <c r="E27" s="17"/>
      <c r="F27" s="17"/>
      <c r="G27" s="16"/>
      <c r="H27" s="42"/>
      <c r="I27" s="26"/>
      <c r="J27" s="16"/>
      <c r="K27" s="13"/>
      <c r="L27" s="13"/>
      <c r="M27" s="13"/>
      <c r="N27" s="41"/>
      <c r="O27" s="55">
        <f t="shared" si="4"/>
        <v>0</v>
      </c>
      <c r="P27" s="67">
        <f t="shared" si="5"/>
        <v>0</v>
      </c>
      <c r="Q27" s="68">
        <f t="shared" si="6"/>
        <v>0</v>
      </c>
    </row>
    <row r="28" spans="1:17" ht="33.75" customHeight="1">
      <c r="A28" s="84" t="str">
        <f>'DIA 05'!A28</f>
        <v>MG-111</v>
      </c>
      <c r="B28" s="24"/>
      <c r="C28" s="16"/>
      <c r="D28" s="17"/>
      <c r="E28" s="17"/>
      <c r="F28" s="17"/>
      <c r="G28" s="16"/>
      <c r="H28" s="42"/>
      <c r="I28" s="26"/>
      <c r="J28" s="15"/>
      <c r="K28" s="13"/>
      <c r="L28" s="13"/>
      <c r="M28" s="13"/>
      <c r="N28" s="38"/>
      <c r="O28" s="55">
        <f t="shared" si="4"/>
        <v>0</v>
      </c>
      <c r="P28" s="67">
        <f t="shared" si="5"/>
        <v>0</v>
      </c>
      <c r="Q28" s="68">
        <f t="shared" si="6"/>
        <v>0</v>
      </c>
    </row>
    <row r="29" spans="1:17" ht="33.75" customHeight="1">
      <c r="A29" s="84" t="str">
        <f>'DIA 05'!A29</f>
        <v>MG-120</v>
      </c>
      <c r="B29" s="24"/>
      <c r="C29" s="16"/>
      <c r="D29" s="17"/>
      <c r="E29" s="17"/>
      <c r="F29" s="17"/>
      <c r="G29" s="16"/>
      <c r="H29" s="42"/>
      <c r="I29" s="26"/>
      <c r="J29" s="15"/>
      <c r="K29" s="13"/>
      <c r="L29" s="13"/>
      <c r="M29" s="13"/>
      <c r="N29" s="37"/>
      <c r="O29" s="55">
        <f t="shared" si="4"/>
        <v>0</v>
      </c>
      <c r="P29" s="67">
        <f t="shared" si="5"/>
        <v>0</v>
      </c>
      <c r="Q29" s="68">
        <f t="shared" si="6"/>
        <v>0</v>
      </c>
    </row>
    <row r="30" spans="1:17" ht="33.75" customHeight="1">
      <c r="A30" s="84" t="str">
        <f>'DIA 05'!A30</f>
        <v>PROSERMIN</v>
      </c>
      <c r="B30" s="24"/>
      <c r="C30" s="16">
        <v>228</v>
      </c>
      <c r="D30" s="17"/>
      <c r="E30" s="17"/>
      <c r="F30" s="17"/>
      <c r="G30" s="16"/>
      <c r="H30" s="42"/>
      <c r="I30" s="26"/>
      <c r="J30" s="16">
        <v>257</v>
      </c>
      <c r="K30" s="17"/>
      <c r="L30" s="17"/>
      <c r="M30" s="17"/>
      <c r="N30" s="37"/>
      <c r="O30" s="55">
        <f t="shared" si="4"/>
        <v>485</v>
      </c>
      <c r="P30" s="67">
        <f t="shared" si="5"/>
        <v>0</v>
      </c>
      <c r="Q30" s="68">
        <f t="shared" si="6"/>
        <v>0</v>
      </c>
    </row>
    <row r="31" spans="1:17" ht="33.75" customHeight="1">
      <c r="A31" s="84" t="str">
        <f>'DIA 05'!A31</f>
        <v>ST-060</v>
      </c>
      <c r="B31" s="24"/>
      <c r="C31" s="16"/>
      <c r="D31" s="17"/>
      <c r="E31" s="17"/>
      <c r="F31" s="17"/>
      <c r="G31" s="16"/>
      <c r="H31" s="42"/>
      <c r="I31" s="26"/>
      <c r="J31" s="16"/>
      <c r="K31" s="17"/>
      <c r="L31" s="17"/>
      <c r="M31" s="17"/>
      <c r="N31" s="37"/>
      <c r="O31" s="55">
        <f t="shared" si="4"/>
        <v>0</v>
      </c>
      <c r="P31" s="67">
        <f t="shared" si="5"/>
        <v>0</v>
      </c>
      <c r="Q31" s="68">
        <f t="shared" si="6"/>
        <v>0</v>
      </c>
    </row>
    <row r="32" spans="1:17" ht="33.75" customHeight="1">
      <c r="A32" s="84" t="str">
        <f>'DIA 05'!A32</f>
        <v>ST-53</v>
      </c>
      <c r="B32" s="24"/>
      <c r="C32" s="16"/>
      <c r="D32" s="17"/>
      <c r="E32" s="17"/>
      <c r="F32" s="17"/>
      <c r="G32" s="16"/>
      <c r="H32" s="42"/>
      <c r="I32" s="26"/>
      <c r="J32" s="16"/>
      <c r="K32" s="17"/>
      <c r="L32" s="17"/>
      <c r="M32" s="17"/>
      <c r="N32" s="37"/>
      <c r="O32" s="55">
        <f t="shared" si="4"/>
        <v>0</v>
      </c>
      <c r="P32" s="67">
        <f t="shared" si="5"/>
        <v>0</v>
      </c>
      <c r="Q32" s="68">
        <f t="shared" si="6"/>
        <v>0</v>
      </c>
    </row>
    <row r="33" spans="1:21" ht="33.75" customHeight="1">
      <c r="A33" s="84" t="str">
        <f>'DIA 05'!A33</f>
        <v>ST-039</v>
      </c>
      <c r="B33" s="24"/>
      <c r="C33" s="64"/>
      <c r="D33" s="74"/>
      <c r="E33" s="19"/>
      <c r="F33" s="12"/>
      <c r="G33" s="31"/>
      <c r="H33" s="43"/>
      <c r="I33" s="26"/>
      <c r="J33" s="18"/>
      <c r="K33" s="76"/>
      <c r="L33" s="76"/>
      <c r="M33" s="19"/>
      <c r="N33" s="41"/>
      <c r="O33" s="55">
        <f t="shared" si="4"/>
        <v>0</v>
      </c>
      <c r="P33" s="67">
        <f t="shared" si="5"/>
        <v>0</v>
      </c>
      <c r="Q33" s="68">
        <f t="shared" si="6"/>
        <v>0</v>
      </c>
    </row>
    <row r="34" spans="1:21" ht="33.75" customHeight="1" thickBot="1">
      <c r="A34" s="84" t="str">
        <f>'DIA 05'!A34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 t="shared" si="3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906</v>
      </c>
      <c r="D35" s="10"/>
      <c r="E35" s="11"/>
      <c r="F35" s="11"/>
      <c r="G35" s="11"/>
      <c r="H35" s="11"/>
      <c r="I35" s="11"/>
      <c r="J35" s="59">
        <f>SUM(J7:J34)</f>
        <v>670</v>
      </c>
      <c r="K35" s="50"/>
      <c r="L35" s="50"/>
      <c r="M35" s="49"/>
      <c r="N35" s="49"/>
      <c r="O35" s="85">
        <f>C35+J35</f>
        <v>1576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O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103" priority="1" operator="containsText" text="NO TRABAJO">
      <formula>NOT(ISERROR(SEARCH("NO TRABAJO",O7)))</formula>
    </cfRule>
    <cfRule type="containsText" dxfId="102" priority="2" operator="containsText" text="FUERA DE SERVICIO">
      <formula>NOT(ISERROR(SEARCH("FUERA DE SERVICIO",O7)))</formula>
    </cfRule>
    <cfRule type="containsText" dxfId="101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8866-70A0-4E94-9D19-83FCF71410B3}">
  <sheetPr>
    <pageSetUpPr fitToPage="1"/>
  </sheetPr>
  <dimension ref="A1:U56"/>
  <sheetViews>
    <sheetView showGridLines="0" view="pageBreakPreview" topLeftCell="A16" zoomScale="50" zoomScaleNormal="100" zoomScaleSheetLayoutView="50" workbookViewId="0">
      <selection activeCell="C10" sqref="C10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06'!Q2+O2</f>
        <v>8518</v>
      </c>
      <c r="Q2" s="160">
        <f>P2-O35</f>
        <v>7363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70"/>
      <c r="P4" s="77"/>
      <c r="Q4" s="78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0"/>
      <c r="P5" s="79"/>
      <c r="Q5" s="80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06'!O6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06'!A7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C7+J7</f>
        <v>0</v>
      </c>
      <c r="P7" s="67">
        <f t="shared" ref="P7:P27" si="1">G7-B7</f>
        <v>0</v>
      </c>
      <c r="Q7" s="68">
        <f t="shared" ref="Q7:Q27" si="2">N7-I7</f>
        <v>0</v>
      </c>
    </row>
    <row r="8" spans="1:17" ht="33.75" customHeight="1">
      <c r="A8" s="84" t="str">
        <f>'DIA 06'!A8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34" si="3">C8+J8</f>
        <v>0</v>
      </c>
      <c r="P8" s="67">
        <f t="shared" si="1"/>
        <v>0</v>
      </c>
      <c r="Q8" s="68">
        <f t="shared" si="2"/>
        <v>0</v>
      </c>
    </row>
    <row r="9" spans="1:17" ht="33.75" customHeight="1">
      <c r="A9" s="84" t="str">
        <f>'DIA 06'!A9</f>
        <v>ST-036 R1300</v>
      </c>
      <c r="B9" s="24">
        <v>9005.1</v>
      </c>
      <c r="C9" s="61">
        <v>213</v>
      </c>
      <c r="D9" s="72" t="s">
        <v>104</v>
      </c>
      <c r="E9" s="12" t="s">
        <v>106</v>
      </c>
      <c r="F9" s="12" t="s">
        <v>107</v>
      </c>
      <c r="G9" s="27"/>
      <c r="H9" s="42"/>
      <c r="I9" s="26">
        <v>9012.6</v>
      </c>
      <c r="J9" s="14">
        <v>108</v>
      </c>
      <c r="K9" s="12" t="s">
        <v>82</v>
      </c>
      <c r="L9" s="12" t="s">
        <v>81</v>
      </c>
      <c r="M9" s="12" t="s">
        <v>82</v>
      </c>
      <c r="N9" s="37"/>
      <c r="O9" s="55">
        <f t="shared" si="3"/>
        <v>321</v>
      </c>
      <c r="P9" s="67">
        <f t="shared" si="1"/>
        <v>-9005.1</v>
      </c>
      <c r="Q9" s="68">
        <f t="shared" si="2"/>
        <v>-9012.6</v>
      </c>
    </row>
    <row r="10" spans="1:17" ht="33.75" customHeight="1">
      <c r="A10" s="84" t="str">
        <f>'DIA 06'!A10</f>
        <v>ST-018</v>
      </c>
      <c r="B10" s="24">
        <v>9629.2000000000007</v>
      </c>
      <c r="C10" s="61">
        <v>206</v>
      </c>
      <c r="D10" s="72" t="s">
        <v>105</v>
      </c>
      <c r="E10" s="12" t="s">
        <v>106</v>
      </c>
      <c r="F10" s="12" t="s">
        <v>107</v>
      </c>
      <c r="G10" s="27"/>
      <c r="H10" s="42"/>
      <c r="I10" s="26">
        <v>9638.6</v>
      </c>
      <c r="J10" s="14">
        <v>187</v>
      </c>
      <c r="K10" s="12" t="s">
        <v>83</v>
      </c>
      <c r="L10" s="12" t="s">
        <v>81</v>
      </c>
      <c r="M10" s="12" t="s">
        <v>82</v>
      </c>
      <c r="N10" s="37"/>
      <c r="O10" s="55">
        <f t="shared" si="3"/>
        <v>393</v>
      </c>
      <c r="P10" s="67">
        <f t="shared" si="1"/>
        <v>-9629.2000000000007</v>
      </c>
      <c r="Q10" s="68">
        <f t="shared" si="2"/>
        <v>-9638.6</v>
      </c>
    </row>
    <row r="11" spans="1:17" ht="33.75" customHeight="1">
      <c r="A11" s="84" t="str">
        <f>'DIA 06'!A11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ref="O11:O16" si="4">C11+J11</f>
        <v>0</v>
      </c>
      <c r="P11" s="67">
        <f t="shared" ref="P11:P16" si="5">G11-B11</f>
        <v>0</v>
      </c>
      <c r="Q11" s="68">
        <f t="shared" ref="Q11:Q16" si="6">N11-I11</f>
        <v>0</v>
      </c>
    </row>
    <row r="12" spans="1:17" ht="33.75" customHeight="1">
      <c r="A12" s="84" t="str">
        <f>'DIA 06'!A12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4"/>
        <v>0</v>
      </c>
      <c r="P12" s="67">
        <f t="shared" si="5"/>
        <v>0</v>
      </c>
      <c r="Q12" s="68">
        <f t="shared" si="6"/>
        <v>0</v>
      </c>
    </row>
    <row r="13" spans="1:17" ht="33.75" customHeight="1">
      <c r="A13" s="84" t="str">
        <f>'DIA 06'!A13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4"/>
        <v>0</v>
      </c>
      <c r="P13" s="67">
        <f t="shared" si="5"/>
        <v>0</v>
      </c>
      <c r="Q13" s="68">
        <f t="shared" si="6"/>
        <v>0</v>
      </c>
    </row>
    <row r="14" spans="1:17" ht="33.75" customHeight="1">
      <c r="A14" s="84" t="str">
        <f>'DIA 06'!A14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4"/>
        <v>0</v>
      </c>
      <c r="P14" s="67">
        <f t="shared" si="5"/>
        <v>0</v>
      </c>
      <c r="Q14" s="68">
        <f t="shared" si="6"/>
        <v>0</v>
      </c>
    </row>
    <row r="15" spans="1:17" ht="33.75" customHeight="1">
      <c r="A15" s="84" t="str">
        <f>'DIA 06'!A15</f>
        <v>JA-007 RESEMIN</v>
      </c>
      <c r="B15" s="24"/>
      <c r="C15" s="61"/>
      <c r="D15" s="72"/>
      <c r="E15" s="12"/>
      <c r="F15" s="12"/>
      <c r="G15" s="27"/>
      <c r="H15" s="42"/>
      <c r="I15" s="26">
        <v>751.1</v>
      </c>
      <c r="J15" s="14">
        <v>30</v>
      </c>
      <c r="K15" s="12" t="s">
        <v>85</v>
      </c>
      <c r="L15" s="12" t="s">
        <v>81</v>
      </c>
      <c r="M15" s="12" t="s">
        <v>82</v>
      </c>
      <c r="N15" s="37"/>
      <c r="O15" s="55">
        <f t="shared" si="4"/>
        <v>30</v>
      </c>
      <c r="P15" s="67">
        <f t="shared" si="5"/>
        <v>0</v>
      </c>
      <c r="Q15" s="68">
        <f t="shared" si="6"/>
        <v>-751.1</v>
      </c>
    </row>
    <row r="16" spans="1:17" ht="33.75" customHeight="1">
      <c r="A16" s="84" t="str">
        <f>'DIA 06'!A16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4"/>
        <v>0</v>
      </c>
      <c r="P16" s="67">
        <f t="shared" si="5"/>
        <v>0</v>
      </c>
      <c r="Q16" s="68">
        <f t="shared" si="6"/>
        <v>0</v>
      </c>
    </row>
    <row r="17" spans="1:17" ht="33.75" customHeight="1">
      <c r="A17" s="84" t="str">
        <f>'DIA 06'!A17</f>
        <v>RE-009 (RETROEXCAVADORA)</v>
      </c>
      <c r="B17" s="24">
        <v>6651.7</v>
      </c>
      <c r="C17" s="61">
        <v>13</v>
      </c>
      <c r="D17" s="72" t="s">
        <v>108</v>
      </c>
      <c r="E17" s="12" t="s">
        <v>106</v>
      </c>
      <c r="F17" s="12" t="s">
        <v>107</v>
      </c>
      <c r="G17" s="25"/>
      <c r="H17" s="42"/>
      <c r="I17" s="26"/>
      <c r="J17" s="14"/>
      <c r="K17" s="12"/>
      <c r="L17" s="12"/>
      <c r="M17" s="12"/>
      <c r="N17" s="37"/>
      <c r="O17" s="55">
        <f t="shared" si="3"/>
        <v>13</v>
      </c>
      <c r="P17" s="67">
        <f t="shared" si="1"/>
        <v>-6651.7</v>
      </c>
      <c r="Q17" s="68">
        <f t="shared" si="2"/>
        <v>0</v>
      </c>
    </row>
    <row r="18" spans="1:17" ht="33.75" customHeight="1">
      <c r="A18" s="84" t="str">
        <f>'DIA 06'!A18</f>
        <v>RE-010 (RETROEXCAVADORA)</v>
      </c>
      <c r="B18" s="24"/>
      <c r="C18" s="61"/>
      <c r="D18" s="72"/>
      <c r="E18" s="12"/>
      <c r="F18" s="12"/>
      <c r="G18" s="25"/>
      <c r="H18" s="42"/>
      <c r="I18" s="26"/>
      <c r="J18" s="14"/>
      <c r="K18" s="12"/>
      <c r="L18" s="12"/>
      <c r="M18" s="12"/>
      <c r="N18" s="37"/>
      <c r="O18" s="55">
        <f t="shared" ref="O18:O26" si="7">C18+J18</f>
        <v>0</v>
      </c>
      <c r="P18" s="67">
        <f t="shared" ref="P18:P26" si="8">G18-B18</f>
        <v>0</v>
      </c>
      <c r="Q18" s="68">
        <f t="shared" ref="Q18:Q26" si="9">N18-I18</f>
        <v>0</v>
      </c>
    </row>
    <row r="19" spans="1:17" ht="33.75" customHeight="1">
      <c r="A19" s="84" t="str">
        <f>'DIA 06'!A19</f>
        <v>ZN</v>
      </c>
      <c r="B19" s="24"/>
      <c r="C19" s="61"/>
      <c r="D19" s="72"/>
      <c r="E19" s="12"/>
      <c r="F19" s="12"/>
      <c r="G19" s="25"/>
      <c r="H19" s="42"/>
      <c r="I19" s="26"/>
      <c r="J19" s="14"/>
      <c r="K19" s="12"/>
      <c r="L19" s="12"/>
      <c r="M19" s="12"/>
      <c r="N19" s="37"/>
      <c r="O19" s="55">
        <f t="shared" si="7"/>
        <v>0</v>
      </c>
      <c r="P19" s="67">
        <f t="shared" si="8"/>
        <v>0</v>
      </c>
      <c r="Q19" s="68">
        <f t="shared" si="9"/>
        <v>0</v>
      </c>
    </row>
    <row r="20" spans="1:17" ht="33.75" customHeight="1">
      <c r="A20" s="84" t="str">
        <f>'DIA 06'!A20</f>
        <v>CBP-001 (BAJO PERFIL)</v>
      </c>
      <c r="B20" s="24"/>
      <c r="C20" s="61"/>
      <c r="D20" s="72"/>
      <c r="E20" s="12"/>
      <c r="F20" s="12"/>
      <c r="G20" s="25"/>
      <c r="H20" s="42"/>
      <c r="I20" s="26"/>
      <c r="J20" s="14"/>
      <c r="K20" s="12"/>
      <c r="L20" s="12"/>
      <c r="M20" s="12"/>
      <c r="N20" s="37"/>
      <c r="O20" s="55">
        <f t="shared" si="7"/>
        <v>0</v>
      </c>
      <c r="P20" s="67">
        <f t="shared" si="8"/>
        <v>0</v>
      </c>
      <c r="Q20" s="68">
        <f t="shared" si="9"/>
        <v>0</v>
      </c>
    </row>
    <row r="21" spans="1:17" ht="33.75" customHeight="1">
      <c r="A21" s="84" t="str">
        <f>'DIA 06'!A21</f>
        <v>MG-105</v>
      </c>
      <c r="B21" s="24"/>
      <c r="C21" s="61"/>
      <c r="D21" s="72"/>
      <c r="E21" s="12"/>
      <c r="F21" s="12"/>
      <c r="G21" s="25"/>
      <c r="H21" s="42"/>
      <c r="I21" s="26"/>
      <c r="J21" s="14"/>
      <c r="K21" s="12"/>
      <c r="L21" s="12"/>
      <c r="M21" s="12"/>
      <c r="N21" s="37"/>
      <c r="O21" s="55">
        <f t="shared" si="7"/>
        <v>0</v>
      </c>
      <c r="P21" s="67">
        <f t="shared" si="8"/>
        <v>0</v>
      </c>
      <c r="Q21" s="68">
        <f t="shared" si="9"/>
        <v>0</v>
      </c>
    </row>
    <row r="22" spans="1:17" ht="33.75" customHeight="1">
      <c r="A22" s="84" t="str">
        <f>'DIA 06'!A22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7"/>
        <v>0</v>
      </c>
      <c r="P22" s="67">
        <f t="shared" si="8"/>
        <v>0</v>
      </c>
      <c r="Q22" s="68">
        <f t="shared" si="9"/>
        <v>0</v>
      </c>
    </row>
    <row r="23" spans="1:17" ht="33.75" customHeight="1">
      <c r="A23" s="84" t="str">
        <f>'DIA 06'!A23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7"/>
        <v>0</v>
      </c>
      <c r="P23" s="67">
        <f t="shared" si="8"/>
        <v>0</v>
      </c>
      <c r="Q23" s="68">
        <f t="shared" si="9"/>
        <v>0</v>
      </c>
    </row>
    <row r="24" spans="1:17" ht="33.75" customHeight="1">
      <c r="A24" s="84" t="str">
        <f>'DIA 06'!A24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7"/>
        <v>0</v>
      </c>
      <c r="P24" s="67">
        <f t="shared" si="8"/>
        <v>0</v>
      </c>
      <c r="Q24" s="68">
        <f t="shared" si="9"/>
        <v>0</v>
      </c>
    </row>
    <row r="25" spans="1:17" ht="33.75" customHeight="1">
      <c r="A25" s="84" t="str">
        <f>'DIA 06'!A25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7"/>
        <v>0</v>
      </c>
      <c r="P25" s="67">
        <f t="shared" si="8"/>
        <v>0</v>
      </c>
      <c r="Q25" s="68">
        <f t="shared" si="9"/>
        <v>0</v>
      </c>
    </row>
    <row r="26" spans="1:17" ht="33.75" customHeight="1">
      <c r="A26" s="84" t="str">
        <f>'DIA 06'!A26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7"/>
        <v>0</v>
      </c>
      <c r="P26" s="67">
        <f t="shared" si="8"/>
        <v>0</v>
      </c>
      <c r="Q26" s="68">
        <f t="shared" si="9"/>
        <v>0</v>
      </c>
    </row>
    <row r="27" spans="1:17" ht="33.75" customHeight="1">
      <c r="A27" s="84" t="str">
        <f>'DIA 06'!A27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41"/>
      <c r="O27" s="55">
        <f t="shared" si="3"/>
        <v>0</v>
      </c>
      <c r="P27" s="67">
        <f t="shared" si="1"/>
        <v>0</v>
      </c>
      <c r="Q27" s="68">
        <f t="shared" si="2"/>
        <v>0</v>
      </c>
    </row>
    <row r="28" spans="1:17" ht="33.75" customHeight="1">
      <c r="A28" s="84" t="str">
        <f>'DIA 06'!A28</f>
        <v>MG-111</v>
      </c>
      <c r="B28" s="24"/>
      <c r="C28" s="60"/>
      <c r="D28" s="71"/>
      <c r="E28" s="12"/>
      <c r="F28" s="12"/>
      <c r="G28" s="25"/>
      <c r="H28" s="42"/>
      <c r="I28" s="26"/>
      <c r="J28" s="16"/>
      <c r="K28" s="12"/>
      <c r="L28" s="12"/>
      <c r="M28" s="12"/>
      <c r="N28" s="37"/>
      <c r="O28" s="55">
        <f t="shared" si="3"/>
        <v>0</v>
      </c>
      <c r="P28" s="67">
        <f t="shared" ref="P28:P34" si="10">G28-B28</f>
        <v>0</v>
      </c>
      <c r="Q28" s="68">
        <f t="shared" ref="Q28:Q34" si="11">N28-I28</f>
        <v>0</v>
      </c>
    </row>
    <row r="29" spans="1:17" ht="33.75" customHeight="1">
      <c r="A29" s="84" t="str">
        <f>'DIA 06'!A29</f>
        <v>MG-120</v>
      </c>
      <c r="B29" s="24"/>
      <c r="C29" s="60"/>
      <c r="D29" s="71"/>
      <c r="E29" s="12"/>
      <c r="F29" s="12"/>
      <c r="G29" s="25"/>
      <c r="H29" s="42"/>
      <c r="I29" s="26"/>
      <c r="J29" s="16"/>
      <c r="K29" s="12"/>
      <c r="L29" s="12"/>
      <c r="M29" s="12"/>
      <c r="N29" s="37"/>
      <c r="O29" s="55">
        <f t="shared" si="3"/>
        <v>0</v>
      </c>
      <c r="P29" s="67">
        <f t="shared" si="10"/>
        <v>0</v>
      </c>
      <c r="Q29" s="68">
        <f t="shared" si="11"/>
        <v>0</v>
      </c>
    </row>
    <row r="30" spans="1:17" ht="33.75" customHeight="1">
      <c r="A30" s="84" t="str">
        <f>'DIA 06'!A30</f>
        <v>PROSERMIN</v>
      </c>
      <c r="B30" s="24"/>
      <c r="C30" s="61">
        <v>183</v>
      </c>
      <c r="D30" s="72"/>
      <c r="E30" s="12"/>
      <c r="F30" s="12"/>
      <c r="G30" s="27"/>
      <c r="H30" s="42"/>
      <c r="I30" s="26"/>
      <c r="J30" s="16">
        <v>173</v>
      </c>
      <c r="K30" s="17"/>
      <c r="L30" s="17"/>
      <c r="M30" s="17"/>
      <c r="N30" s="37"/>
      <c r="O30" s="55">
        <f t="shared" si="3"/>
        <v>356</v>
      </c>
      <c r="P30" s="67">
        <f t="shared" si="10"/>
        <v>0</v>
      </c>
      <c r="Q30" s="68">
        <f t="shared" si="11"/>
        <v>0</v>
      </c>
    </row>
    <row r="31" spans="1:17" ht="33.75" customHeight="1">
      <c r="A31" s="84" t="str">
        <f>'DIA 06'!A31</f>
        <v>ST-060</v>
      </c>
      <c r="B31" s="24"/>
      <c r="C31" s="60"/>
      <c r="D31" s="71"/>
      <c r="E31" s="17"/>
      <c r="F31" s="12"/>
      <c r="G31" s="25"/>
      <c r="H31" s="42"/>
      <c r="I31" s="26"/>
      <c r="J31" s="16"/>
      <c r="K31" s="13"/>
      <c r="L31" s="13"/>
      <c r="M31" s="13"/>
      <c r="N31" s="41"/>
      <c r="O31" s="55">
        <f t="shared" si="3"/>
        <v>0</v>
      </c>
      <c r="P31" s="67">
        <f t="shared" si="10"/>
        <v>0</v>
      </c>
      <c r="Q31" s="68">
        <f t="shared" si="11"/>
        <v>0</v>
      </c>
    </row>
    <row r="32" spans="1:17" ht="33.75" customHeight="1">
      <c r="A32" s="84" t="str">
        <f>'DIA 06'!A32</f>
        <v>ST-53</v>
      </c>
      <c r="B32" s="24"/>
      <c r="C32" s="60"/>
      <c r="D32" s="71"/>
      <c r="E32" s="12"/>
      <c r="F32" s="12"/>
      <c r="G32" s="25"/>
      <c r="H32" s="42"/>
      <c r="I32" s="26"/>
      <c r="J32" s="16"/>
      <c r="K32" s="12"/>
      <c r="L32" s="12"/>
      <c r="M32" s="12"/>
      <c r="N32" s="37"/>
      <c r="O32" s="55">
        <f t="shared" si="3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06'!A33</f>
        <v>ST-039</v>
      </c>
      <c r="B33" s="24"/>
      <c r="C33" s="60"/>
      <c r="D33" s="71"/>
      <c r="E33" s="12"/>
      <c r="F33" s="12"/>
      <c r="G33" s="25"/>
      <c r="H33" s="42"/>
      <c r="I33" s="26"/>
      <c r="J33" s="16"/>
      <c r="K33" s="12"/>
      <c r="L33" s="12"/>
      <c r="M33" s="12"/>
      <c r="N33" s="37"/>
      <c r="O33" s="55">
        <f t="shared" si="3"/>
        <v>0</v>
      </c>
      <c r="P33" s="67">
        <f t="shared" si="10"/>
        <v>0</v>
      </c>
      <c r="Q33" s="68">
        <f t="shared" si="11"/>
        <v>0</v>
      </c>
    </row>
    <row r="34" spans="1:21" ht="33.75" customHeight="1" thickBot="1">
      <c r="A34" s="84" t="str">
        <f>'DIA 06'!A34</f>
        <v>JL-025</v>
      </c>
      <c r="B34" s="39">
        <v>4169.6000000000004</v>
      </c>
      <c r="C34" s="115">
        <v>42</v>
      </c>
      <c r="D34" s="116" t="s">
        <v>109</v>
      </c>
      <c r="E34" s="35" t="s">
        <v>106</v>
      </c>
      <c r="F34" s="35" t="s">
        <v>107</v>
      </c>
      <c r="G34" s="103"/>
      <c r="H34" s="42"/>
      <c r="I34" s="39"/>
      <c r="J34" s="101"/>
      <c r="K34" s="35"/>
      <c r="L34" s="35"/>
      <c r="M34" s="35"/>
      <c r="N34" s="35"/>
      <c r="O34" s="117">
        <f t="shared" si="3"/>
        <v>42</v>
      </c>
      <c r="P34" s="69">
        <f t="shared" si="10"/>
        <v>-4169.6000000000004</v>
      </c>
      <c r="Q34" s="70">
        <f t="shared" si="11"/>
        <v>0</v>
      </c>
    </row>
    <row r="35" spans="1:21" ht="39" customHeight="1" thickBot="1">
      <c r="A35" s="83" t="s">
        <v>0</v>
      </c>
      <c r="B35" s="11"/>
      <c r="C35" s="83">
        <f>SUM(C7:C34)</f>
        <v>657</v>
      </c>
      <c r="D35" s="10"/>
      <c r="E35" s="11"/>
      <c r="F35" s="11"/>
      <c r="G35" s="11"/>
      <c r="H35" s="11"/>
      <c r="I35" s="11"/>
      <c r="J35" s="100">
        <f>SUM(J7:J34)</f>
        <v>498</v>
      </c>
      <c r="K35" s="50"/>
      <c r="L35" s="50"/>
      <c r="M35" s="49"/>
      <c r="N35" s="49"/>
      <c r="O35" s="104">
        <f>C35+J35</f>
        <v>1155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O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100" priority="1" operator="containsText" text="NO TRABAJO">
      <formula>NOT(ISERROR(SEARCH("NO TRABAJO",O7)))</formula>
    </cfRule>
    <cfRule type="containsText" dxfId="99" priority="2" operator="containsText" text="FUERA DE SERVICIO">
      <formula>NOT(ISERROR(SEARCH("FUERA DE SERVICIO",O7)))</formula>
    </cfRule>
    <cfRule type="containsText" dxfId="98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AD9A-B1E2-4DA4-BC30-630925AD4699}">
  <sheetPr>
    <pageSetUpPr fitToPage="1"/>
  </sheetPr>
  <dimension ref="A1:U56"/>
  <sheetViews>
    <sheetView showGridLines="0" view="pageBreakPreview" topLeftCell="A4" zoomScale="50" zoomScaleNormal="100" zoomScaleSheetLayoutView="50" workbookViewId="0">
      <selection activeCell="L14" sqref="L14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>
        <v>1750</v>
      </c>
      <c r="P2" s="187">
        <f>'DIA 07'!Q2+O2</f>
        <v>9113</v>
      </c>
      <c r="Q2" s="160">
        <f>P2-O35</f>
        <v>7840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70"/>
      <c r="P4" s="77"/>
      <c r="Q4" s="78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0"/>
      <c r="P5" s="79"/>
      <c r="Q5" s="80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07'!O6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07'!A7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C7+J7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07'!A8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34" si="3">C8+J8</f>
        <v>0</v>
      </c>
      <c r="P8" s="67">
        <f t="shared" si="1"/>
        <v>0</v>
      </c>
      <c r="Q8" s="68">
        <f t="shared" si="2"/>
        <v>0</v>
      </c>
    </row>
    <row r="9" spans="1:17" ht="33.75" customHeight="1">
      <c r="A9" s="84" t="str">
        <f>'DIA 07'!A9</f>
        <v>ST-036 R1300</v>
      </c>
      <c r="B9" s="24">
        <v>9021.9</v>
      </c>
      <c r="C9" s="61">
        <v>186</v>
      </c>
      <c r="D9" s="72" t="s">
        <v>110</v>
      </c>
      <c r="E9" s="12" t="s">
        <v>106</v>
      </c>
      <c r="F9" s="12" t="s">
        <v>111</v>
      </c>
      <c r="G9" s="27"/>
      <c r="H9" s="42"/>
      <c r="I9" s="26">
        <v>9031.2000000000007</v>
      </c>
      <c r="J9" s="14">
        <v>149</v>
      </c>
      <c r="K9" s="12" t="s">
        <v>114</v>
      </c>
      <c r="L9" s="12" t="s">
        <v>81</v>
      </c>
      <c r="M9" s="12" t="s">
        <v>82</v>
      </c>
      <c r="N9" s="37"/>
      <c r="O9" s="55">
        <f t="shared" si="3"/>
        <v>335</v>
      </c>
      <c r="P9" s="67">
        <f t="shared" si="1"/>
        <v>-9021.9</v>
      </c>
      <c r="Q9" s="68">
        <f t="shared" si="2"/>
        <v>-9031.2000000000007</v>
      </c>
    </row>
    <row r="10" spans="1:17" ht="33.75" customHeight="1">
      <c r="A10" s="84" t="str">
        <f>'DIA 07'!A10</f>
        <v>ST-018</v>
      </c>
      <c r="B10" s="24">
        <v>9647</v>
      </c>
      <c r="C10" s="61">
        <v>156</v>
      </c>
      <c r="D10" s="72" t="s">
        <v>105</v>
      </c>
      <c r="E10" s="12" t="s">
        <v>106</v>
      </c>
      <c r="F10" s="12" t="s">
        <v>111</v>
      </c>
      <c r="G10" s="27"/>
      <c r="H10" s="42"/>
      <c r="I10" s="26">
        <v>9657.4</v>
      </c>
      <c r="J10" s="14">
        <v>136</v>
      </c>
      <c r="K10" s="12" t="s">
        <v>83</v>
      </c>
      <c r="L10" s="12" t="s">
        <v>81</v>
      </c>
      <c r="M10" s="12" t="s">
        <v>82</v>
      </c>
      <c r="N10" s="37"/>
      <c r="O10" s="55">
        <f t="shared" si="3"/>
        <v>292</v>
      </c>
      <c r="P10" s="67">
        <f t="shared" si="1"/>
        <v>-9647</v>
      </c>
      <c r="Q10" s="68">
        <f t="shared" si="2"/>
        <v>-9657.4</v>
      </c>
    </row>
    <row r="11" spans="1:17" ht="33.75" customHeight="1">
      <c r="A11" s="84" t="str">
        <f>'DIA 07'!A11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ref="O11:O25" si="4">C11+J11</f>
        <v>0</v>
      </c>
      <c r="P11" s="67">
        <f t="shared" ref="P11:P25" si="5">G11-B11</f>
        <v>0</v>
      </c>
      <c r="Q11" s="68">
        <f t="shared" ref="Q11:Q25" si="6">N11-I11</f>
        <v>0</v>
      </c>
    </row>
    <row r="12" spans="1:17" ht="33.75" customHeight="1">
      <c r="A12" s="84" t="str">
        <f>'DIA 07'!A12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4"/>
        <v>0</v>
      </c>
      <c r="P12" s="67">
        <f t="shared" si="5"/>
        <v>0</v>
      </c>
      <c r="Q12" s="68">
        <f t="shared" si="6"/>
        <v>0</v>
      </c>
    </row>
    <row r="13" spans="1:17" ht="33.75" customHeight="1">
      <c r="A13" s="84" t="str">
        <f>'DIA 07'!A13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4"/>
        <v>0</v>
      </c>
      <c r="P13" s="67">
        <f t="shared" si="5"/>
        <v>0</v>
      </c>
      <c r="Q13" s="68">
        <f t="shared" si="6"/>
        <v>0</v>
      </c>
    </row>
    <row r="14" spans="1:17" ht="33.75" customHeight="1">
      <c r="A14" s="84" t="str">
        <f>'DIA 07'!A14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4"/>
        <v>0</v>
      </c>
      <c r="P14" s="67">
        <f t="shared" si="5"/>
        <v>0</v>
      </c>
      <c r="Q14" s="68">
        <f t="shared" si="6"/>
        <v>0</v>
      </c>
    </row>
    <row r="15" spans="1:17" ht="33.75" customHeight="1">
      <c r="A15" s="84" t="str">
        <f>'DIA 07'!A15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si="4"/>
        <v>0</v>
      </c>
      <c r="P15" s="67">
        <f t="shared" si="5"/>
        <v>0</v>
      </c>
      <c r="Q15" s="68">
        <f t="shared" si="6"/>
        <v>0</v>
      </c>
    </row>
    <row r="16" spans="1:17" ht="33.75" customHeight="1">
      <c r="A16" s="84" t="str">
        <f>'DIA 07'!A16</f>
        <v>JA-004 CANNON</v>
      </c>
      <c r="B16" s="24">
        <v>2397.4</v>
      </c>
      <c r="C16" s="61">
        <v>118</v>
      </c>
      <c r="D16" s="72" t="s">
        <v>112</v>
      </c>
      <c r="E16" s="12" t="s">
        <v>106</v>
      </c>
      <c r="F16" s="12" t="s">
        <v>111</v>
      </c>
      <c r="G16" s="27"/>
      <c r="H16" s="42"/>
      <c r="I16" s="26"/>
      <c r="J16" s="14"/>
      <c r="K16" s="12"/>
      <c r="L16" s="12"/>
      <c r="M16" s="12"/>
      <c r="N16" s="37"/>
      <c r="O16" s="55">
        <f t="shared" si="4"/>
        <v>118</v>
      </c>
      <c r="P16" s="67">
        <f t="shared" si="5"/>
        <v>-2397.4</v>
      </c>
      <c r="Q16" s="68">
        <f t="shared" si="6"/>
        <v>0</v>
      </c>
    </row>
    <row r="17" spans="1:17" ht="33.75" customHeight="1">
      <c r="A17" s="84" t="str">
        <f>'DIA 07'!A17</f>
        <v>RE-009 (RETROEXCAVADORA)</v>
      </c>
      <c r="B17" s="24">
        <v>6666</v>
      </c>
      <c r="C17" s="61">
        <v>71</v>
      </c>
      <c r="D17" s="72" t="s">
        <v>113</v>
      </c>
      <c r="E17" s="12" t="s">
        <v>106</v>
      </c>
      <c r="F17" s="12" t="s">
        <v>111</v>
      </c>
      <c r="G17" s="27"/>
      <c r="H17" s="42"/>
      <c r="I17" s="26"/>
      <c r="J17" s="14"/>
      <c r="K17" s="12"/>
      <c r="L17" s="12"/>
      <c r="M17" s="12"/>
      <c r="N17" s="37"/>
      <c r="O17" s="55">
        <f t="shared" si="4"/>
        <v>71</v>
      </c>
      <c r="P17" s="67">
        <f t="shared" si="5"/>
        <v>-6666</v>
      </c>
      <c r="Q17" s="68">
        <f t="shared" si="6"/>
        <v>0</v>
      </c>
    </row>
    <row r="18" spans="1:17" ht="33.75" customHeight="1">
      <c r="A18" s="84" t="str">
        <f>'DIA 07'!A18</f>
        <v>RE-010 (RETROEXCAVADORA)</v>
      </c>
      <c r="B18" s="24">
        <v>2798</v>
      </c>
      <c r="C18" s="61">
        <v>89</v>
      </c>
      <c r="D18" s="72" t="s">
        <v>108</v>
      </c>
      <c r="E18" s="12" t="s">
        <v>106</v>
      </c>
      <c r="F18" s="12" t="s">
        <v>111</v>
      </c>
      <c r="G18" s="27"/>
      <c r="H18" s="42"/>
      <c r="I18" s="26"/>
      <c r="J18" s="14"/>
      <c r="K18" s="12"/>
      <c r="L18" s="12"/>
      <c r="M18" s="12"/>
      <c r="N18" s="37"/>
      <c r="O18" s="55">
        <f t="shared" si="4"/>
        <v>89</v>
      </c>
      <c r="P18" s="67">
        <f t="shared" si="5"/>
        <v>-2798</v>
      </c>
      <c r="Q18" s="68">
        <f t="shared" si="6"/>
        <v>0</v>
      </c>
    </row>
    <row r="19" spans="1:17" ht="33.75" customHeight="1">
      <c r="A19" s="84" t="str">
        <f>'DIA 07'!A19</f>
        <v>ZN</v>
      </c>
      <c r="B19" s="24"/>
      <c r="C19" s="61"/>
      <c r="D19" s="72"/>
      <c r="E19" s="12"/>
      <c r="F19" s="12"/>
      <c r="G19" s="27"/>
      <c r="H19" s="42"/>
      <c r="I19" s="26"/>
      <c r="J19" s="14"/>
      <c r="K19" s="12"/>
      <c r="L19" s="12"/>
      <c r="M19" s="12"/>
      <c r="N19" s="37"/>
      <c r="O19" s="55">
        <f t="shared" si="4"/>
        <v>0</v>
      </c>
      <c r="P19" s="67">
        <f t="shared" si="5"/>
        <v>0</v>
      </c>
      <c r="Q19" s="68">
        <f t="shared" si="6"/>
        <v>0</v>
      </c>
    </row>
    <row r="20" spans="1:17" ht="33.75" customHeight="1">
      <c r="A20" s="84" t="str">
        <f>'DIA 07'!A20</f>
        <v>CBP-001 (BAJO PERFIL)</v>
      </c>
      <c r="B20" s="24"/>
      <c r="C20" s="61"/>
      <c r="D20" s="72"/>
      <c r="E20" s="12"/>
      <c r="F20" s="12"/>
      <c r="G20" s="27"/>
      <c r="H20" s="42"/>
      <c r="I20" s="26"/>
      <c r="J20" s="14"/>
      <c r="K20" s="12"/>
      <c r="L20" s="12"/>
      <c r="M20" s="12"/>
      <c r="N20" s="37"/>
      <c r="O20" s="55">
        <f t="shared" si="4"/>
        <v>0</v>
      </c>
      <c r="P20" s="67">
        <f t="shared" si="5"/>
        <v>0</v>
      </c>
      <c r="Q20" s="68">
        <f t="shared" si="6"/>
        <v>0</v>
      </c>
    </row>
    <row r="21" spans="1:17" ht="33.75" customHeight="1">
      <c r="A21" s="84" t="str">
        <f>'DIA 07'!A21</f>
        <v>MG-105</v>
      </c>
      <c r="B21" s="24"/>
      <c r="C21" s="61"/>
      <c r="D21" s="72"/>
      <c r="E21" s="12"/>
      <c r="F21" s="12"/>
      <c r="G21" s="27"/>
      <c r="H21" s="42"/>
      <c r="I21" s="26"/>
      <c r="J21" s="14"/>
      <c r="K21" s="12"/>
      <c r="L21" s="12"/>
      <c r="M21" s="12"/>
      <c r="N21" s="37"/>
      <c r="O21" s="55">
        <f t="shared" si="4"/>
        <v>0</v>
      </c>
      <c r="P21" s="67">
        <f t="shared" si="5"/>
        <v>0</v>
      </c>
      <c r="Q21" s="68">
        <f t="shared" si="6"/>
        <v>0</v>
      </c>
    </row>
    <row r="22" spans="1:17" ht="33.75" customHeight="1">
      <c r="A22" s="84" t="str">
        <f>'DIA 07'!A22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4"/>
        <v>0</v>
      </c>
      <c r="P22" s="67">
        <f t="shared" si="5"/>
        <v>0</v>
      </c>
      <c r="Q22" s="68">
        <f t="shared" si="6"/>
        <v>0</v>
      </c>
    </row>
    <row r="23" spans="1:17" ht="33.75" customHeight="1">
      <c r="A23" s="84" t="str">
        <f>'DIA 07'!A23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4"/>
        <v>0</v>
      </c>
      <c r="P23" s="67">
        <f t="shared" si="5"/>
        <v>0</v>
      </c>
      <c r="Q23" s="68">
        <f t="shared" si="6"/>
        <v>0</v>
      </c>
    </row>
    <row r="24" spans="1:17" ht="33.75" customHeight="1">
      <c r="A24" s="84" t="str">
        <f>'DIA 07'!A24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4"/>
        <v>0</v>
      </c>
      <c r="P24" s="67">
        <f t="shared" si="5"/>
        <v>0</v>
      </c>
      <c r="Q24" s="68">
        <f t="shared" si="6"/>
        <v>0</v>
      </c>
    </row>
    <row r="25" spans="1:17" ht="33.75" customHeight="1">
      <c r="A25" s="84" t="str">
        <f>'DIA 07'!A25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4"/>
        <v>0</v>
      </c>
      <c r="P25" s="67">
        <f t="shared" si="5"/>
        <v>0</v>
      </c>
      <c r="Q25" s="68">
        <f t="shared" si="6"/>
        <v>0</v>
      </c>
    </row>
    <row r="26" spans="1:17" ht="33.75" customHeight="1">
      <c r="A26" s="84" t="str">
        <f>'DIA 07'!A26</f>
        <v>MG-121</v>
      </c>
      <c r="B26" s="24">
        <v>25940</v>
      </c>
      <c r="C26" s="61">
        <v>68</v>
      </c>
      <c r="D26" s="72" t="s">
        <v>93</v>
      </c>
      <c r="E26" s="12" t="s">
        <v>106</v>
      </c>
      <c r="F26" s="12" t="s">
        <v>111</v>
      </c>
      <c r="G26" s="27"/>
      <c r="H26" s="42"/>
      <c r="I26" s="26"/>
      <c r="J26" s="16"/>
      <c r="K26" s="17"/>
      <c r="L26" s="17"/>
      <c r="M26" s="17"/>
      <c r="N26" s="37"/>
      <c r="O26" s="55">
        <f t="shared" si="3"/>
        <v>68</v>
      </c>
      <c r="P26" s="67">
        <f t="shared" si="1"/>
        <v>-25940</v>
      </c>
      <c r="Q26" s="68">
        <f t="shared" si="2"/>
        <v>0</v>
      </c>
    </row>
    <row r="27" spans="1:17" ht="33.75" customHeight="1">
      <c r="A27" s="84" t="str">
        <f>'DIA 07'!A27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41"/>
      <c r="O27" s="55">
        <f t="shared" si="3"/>
        <v>0</v>
      </c>
      <c r="P27" s="67">
        <f t="shared" si="1"/>
        <v>0</v>
      </c>
      <c r="Q27" s="68">
        <f t="shared" si="2"/>
        <v>0</v>
      </c>
    </row>
    <row r="28" spans="1:17" ht="33.75" customHeight="1">
      <c r="A28" s="84" t="str">
        <f>'DIA 07'!A28</f>
        <v>MG-111</v>
      </c>
      <c r="B28" s="24"/>
      <c r="C28" s="62"/>
      <c r="D28" s="57"/>
      <c r="E28" s="13"/>
      <c r="F28" s="12"/>
      <c r="G28" s="28"/>
      <c r="H28" s="42"/>
      <c r="I28" s="26"/>
      <c r="J28" s="15"/>
      <c r="K28" s="13"/>
      <c r="L28" s="13"/>
      <c r="M28" s="13"/>
      <c r="N28" s="38"/>
      <c r="O28" s="55">
        <f t="shared" si="3"/>
        <v>0</v>
      </c>
      <c r="P28" s="67">
        <f t="shared" si="1"/>
        <v>0</v>
      </c>
      <c r="Q28" s="68">
        <f t="shared" si="2"/>
        <v>0</v>
      </c>
    </row>
    <row r="29" spans="1:17" ht="33.75" customHeight="1">
      <c r="A29" s="84" t="str">
        <f>'DIA 07'!A29</f>
        <v>MG-120</v>
      </c>
      <c r="B29" s="24"/>
      <c r="C29" s="61"/>
      <c r="D29" s="72"/>
      <c r="E29" s="12"/>
      <c r="F29" s="12"/>
      <c r="G29" s="27"/>
      <c r="H29" s="42"/>
      <c r="I29" s="26"/>
      <c r="J29" s="15"/>
      <c r="K29" s="13"/>
      <c r="L29" s="13"/>
      <c r="M29" s="13"/>
      <c r="N29" s="37"/>
      <c r="O29" s="55">
        <f t="shared" si="3"/>
        <v>0</v>
      </c>
      <c r="P29" s="67">
        <f t="shared" si="1"/>
        <v>0</v>
      </c>
      <c r="Q29" s="68">
        <f t="shared" si="2"/>
        <v>0</v>
      </c>
    </row>
    <row r="30" spans="1:17" ht="33.75" customHeight="1">
      <c r="A30" s="84" t="str">
        <f>'DIA 07'!A30</f>
        <v>PROSERMIN</v>
      </c>
      <c r="B30" s="24"/>
      <c r="C30" s="60">
        <v>102</v>
      </c>
      <c r="D30" s="71"/>
      <c r="E30" s="17"/>
      <c r="F30" s="12"/>
      <c r="G30" s="25"/>
      <c r="H30" s="42"/>
      <c r="I30" s="26"/>
      <c r="J30" s="16">
        <v>198</v>
      </c>
      <c r="K30" s="12"/>
      <c r="L30" s="12"/>
      <c r="M30" s="12"/>
      <c r="N30" s="37"/>
      <c r="O30" s="55">
        <f t="shared" si="3"/>
        <v>300</v>
      </c>
      <c r="P30" s="67">
        <f t="shared" ref="P30:P33" si="7">G30-B30</f>
        <v>0</v>
      </c>
      <c r="Q30" s="68">
        <f t="shared" ref="Q30:Q33" si="8">N30-I30</f>
        <v>0</v>
      </c>
    </row>
    <row r="31" spans="1:17" ht="33.75" customHeight="1">
      <c r="A31" s="84" t="str">
        <f>'DIA 07'!A31</f>
        <v>ST-060</v>
      </c>
      <c r="B31" s="24"/>
      <c r="C31" s="62"/>
      <c r="D31" s="57"/>
      <c r="E31" s="13"/>
      <c r="F31" s="12"/>
      <c r="G31" s="28"/>
      <c r="H31" s="42"/>
      <c r="I31" s="26"/>
      <c r="J31" s="16"/>
      <c r="K31" s="17"/>
      <c r="L31" s="17"/>
      <c r="M31" s="17"/>
      <c r="N31" s="37"/>
      <c r="O31" s="55">
        <f t="shared" si="3"/>
        <v>0</v>
      </c>
      <c r="P31" s="67">
        <f t="shared" si="7"/>
        <v>0</v>
      </c>
      <c r="Q31" s="68">
        <f t="shared" si="8"/>
        <v>0</v>
      </c>
    </row>
    <row r="32" spans="1:17" ht="33.75" customHeight="1">
      <c r="A32" s="84" t="str">
        <f>'DIA 07'!A32</f>
        <v>ST-53</v>
      </c>
      <c r="B32" s="24"/>
      <c r="C32" s="61"/>
      <c r="D32" s="72"/>
      <c r="E32" s="12"/>
      <c r="F32" s="12"/>
      <c r="G32" s="27"/>
      <c r="H32" s="42"/>
      <c r="I32" s="26"/>
      <c r="J32" s="16"/>
      <c r="K32" s="13"/>
      <c r="L32" s="13"/>
      <c r="M32" s="13"/>
      <c r="N32" s="41"/>
      <c r="O32" s="55">
        <f t="shared" si="3"/>
        <v>0</v>
      </c>
      <c r="P32" s="67">
        <f t="shared" si="7"/>
        <v>0</v>
      </c>
      <c r="Q32" s="68">
        <f t="shared" si="8"/>
        <v>0</v>
      </c>
    </row>
    <row r="33" spans="1:21" ht="33.75" customHeight="1">
      <c r="A33" s="84" t="str">
        <f>'DIA 07'!A33</f>
        <v>ST-039</v>
      </c>
      <c r="B33" s="24"/>
      <c r="C33" s="60"/>
      <c r="D33" s="71"/>
      <c r="E33" s="17"/>
      <c r="F33" s="12"/>
      <c r="G33" s="25"/>
      <c r="H33" s="43"/>
      <c r="I33" s="26"/>
      <c r="J33" s="15"/>
      <c r="K33" s="13"/>
      <c r="L33" s="13"/>
      <c r="M33" s="13"/>
      <c r="N33" s="38"/>
      <c r="O33" s="55">
        <f t="shared" si="3"/>
        <v>0</v>
      </c>
      <c r="P33" s="67">
        <f t="shared" si="7"/>
        <v>0</v>
      </c>
      <c r="Q33" s="68">
        <f t="shared" si="8"/>
        <v>0</v>
      </c>
    </row>
    <row r="34" spans="1:21" ht="33.75" customHeight="1" thickBot="1">
      <c r="A34" s="84" t="str">
        <f>'DIA 07'!A34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 t="shared" si="3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790</v>
      </c>
      <c r="D35" s="10"/>
      <c r="E35" s="11"/>
      <c r="F35" s="11"/>
      <c r="G35" s="11"/>
      <c r="H35" s="11"/>
      <c r="I35" s="11"/>
      <c r="J35" s="59">
        <f>SUM(J7:J34)</f>
        <v>483</v>
      </c>
      <c r="K35" s="50"/>
      <c r="L35" s="50"/>
      <c r="M35" s="49"/>
      <c r="N35" s="49"/>
      <c r="O35" s="85">
        <f>C35+J35</f>
        <v>1273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O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97" priority="1" operator="containsText" text="NO TRABAJO">
      <formula>NOT(ISERROR(SEARCH("NO TRABAJO",O7)))</formula>
    </cfRule>
    <cfRule type="containsText" dxfId="96" priority="2" operator="containsText" text="FUERA DE SERVICIO">
      <formula>NOT(ISERROR(SEARCH("FUERA DE SERVICIO",O7)))</formula>
    </cfRule>
    <cfRule type="containsText" dxfId="95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B1DB-0DB9-428F-B897-8A6E0C90CB9B}">
  <sheetPr>
    <pageSetUpPr fitToPage="1"/>
  </sheetPr>
  <dimension ref="A1:U56"/>
  <sheetViews>
    <sheetView showGridLines="0" view="pageBreakPreview" topLeftCell="A13" zoomScale="50" zoomScaleNormal="100" zoomScaleSheetLayoutView="50" workbookViewId="0">
      <selection activeCell="J30" sqref="J30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08'!Q2+O2</f>
        <v>7840</v>
      </c>
      <c r="Q2" s="160">
        <f>P2-O35</f>
        <v>6537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70"/>
      <c r="P4" s="77"/>
      <c r="Q4" s="78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0"/>
      <c r="P5" s="79"/>
      <c r="Q5" s="80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08'!O6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08'!A7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9" si="1">G7-B7</f>
        <v>0</v>
      </c>
      <c r="Q7" s="68">
        <f t="shared" ref="Q7:Q9" si="2">N7-I7</f>
        <v>0</v>
      </c>
    </row>
    <row r="8" spans="1:17" ht="33.75" customHeight="1">
      <c r="A8" s="84" t="str">
        <f>'DIA 08'!A8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9" si="3">J8+C8</f>
        <v>0</v>
      </c>
      <c r="P8" s="67">
        <f t="shared" si="1"/>
        <v>0</v>
      </c>
      <c r="Q8" s="68">
        <f t="shared" si="2"/>
        <v>0</v>
      </c>
    </row>
    <row r="9" spans="1:17" ht="33.75" customHeight="1">
      <c r="A9" s="84" t="str">
        <f>'DIA 08'!A9</f>
        <v>ST-036 R1300</v>
      </c>
      <c r="B9" s="24">
        <v>9039.5</v>
      </c>
      <c r="C9" s="61">
        <v>153</v>
      </c>
      <c r="D9" s="72" t="s">
        <v>104</v>
      </c>
      <c r="E9" s="12" t="s">
        <v>106</v>
      </c>
      <c r="F9" s="12" t="s">
        <v>107</v>
      </c>
      <c r="G9" s="27"/>
      <c r="H9" s="42"/>
      <c r="I9" s="26">
        <v>9047.2000000000007</v>
      </c>
      <c r="J9" s="14">
        <v>117</v>
      </c>
      <c r="K9" s="12" t="s">
        <v>82</v>
      </c>
      <c r="L9" s="12" t="s">
        <v>81</v>
      </c>
      <c r="M9" s="12" t="s">
        <v>82</v>
      </c>
      <c r="N9" s="37"/>
      <c r="O9" s="55">
        <f t="shared" si="3"/>
        <v>270</v>
      </c>
      <c r="P9" s="67">
        <f t="shared" si="1"/>
        <v>-9039.5</v>
      </c>
      <c r="Q9" s="68">
        <f t="shared" si="2"/>
        <v>-9047.2000000000007</v>
      </c>
    </row>
    <row r="10" spans="1:17" ht="33.75" customHeight="1">
      <c r="A10" s="84" t="str">
        <f>'DIA 08'!A10</f>
        <v>ST-018</v>
      </c>
      <c r="B10" s="24">
        <v>9659.4</v>
      </c>
      <c r="C10" s="61">
        <v>175</v>
      </c>
      <c r="D10" s="72" t="s">
        <v>105</v>
      </c>
      <c r="E10" s="12" t="s">
        <v>106</v>
      </c>
      <c r="F10" s="12" t="s">
        <v>107</v>
      </c>
      <c r="G10" s="27"/>
      <c r="H10" s="42"/>
      <c r="I10" s="26">
        <v>9666.5</v>
      </c>
      <c r="J10" s="14">
        <v>173</v>
      </c>
      <c r="K10" s="12">
        <v>173</v>
      </c>
      <c r="L10" s="12" t="s">
        <v>81</v>
      </c>
      <c r="M10" s="12" t="s">
        <v>82</v>
      </c>
      <c r="N10" s="37"/>
      <c r="O10" s="55">
        <f t="shared" ref="O10:O23" si="4">J10+C10</f>
        <v>348</v>
      </c>
      <c r="P10" s="67">
        <f t="shared" ref="P10:P23" si="5">G10-B10</f>
        <v>-9659.4</v>
      </c>
      <c r="Q10" s="68">
        <f t="shared" ref="Q10:Q23" si="6">N10-I10</f>
        <v>-9666.5</v>
      </c>
    </row>
    <row r="11" spans="1:17" ht="33.75" customHeight="1">
      <c r="A11" s="84" t="str">
        <f>'DIA 08'!A11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4"/>
        <v>0</v>
      </c>
      <c r="P11" s="67">
        <f t="shared" si="5"/>
        <v>0</v>
      </c>
      <c r="Q11" s="68">
        <f t="shared" si="6"/>
        <v>0</v>
      </c>
    </row>
    <row r="12" spans="1:17" ht="33.75" customHeight="1">
      <c r="A12" s="84" t="str">
        <f>'DIA 08'!A12</f>
        <v>JL-015 (DD311)</v>
      </c>
      <c r="B12" s="24"/>
      <c r="C12" s="61">
        <v>37</v>
      </c>
      <c r="D12" s="72" t="s">
        <v>115</v>
      </c>
      <c r="E12" s="12" t="s">
        <v>106</v>
      </c>
      <c r="F12" s="12" t="s">
        <v>107</v>
      </c>
      <c r="G12" s="27"/>
      <c r="H12" s="42"/>
      <c r="I12" s="26"/>
      <c r="J12" s="14"/>
      <c r="K12" s="12"/>
      <c r="L12" s="12"/>
      <c r="M12" s="12"/>
      <c r="N12" s="37"/>
      <c r="O12" s="55">
        <f t="shared" si="4"/>
        <v>37</v>
      </c>
      <c r="P12" s="67">
        <f t="shared" si="5"/>
        <v>0</v>
      </c>
      <c r="Q12" s="68">
        <f t="shared" si="6"/>
        <v>0</v>
      </c>
    </row>
    <row r="13" spans="1:17" ht="33.75" customHeight="1">
      <c r="A13" s="84" t="str">
        <f>'DIA 08'!A13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4"/>
        <v>0</v>
      </c>
      <c r="P13" s="67">
        <f t="shared" si="5"/>
        <v>0</v>
      </c>
      <c r="Q13" s="68">
        <f t="shared" si="6"/>
        <v>0</v>
      </c>
    </row>
    <row r="14" spans="1:17" ht="33.75" customHeight="1">
      <c r="A14" s="84" t="str">
        <f>'DIA 08'!A14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4"/>
        <v>0</v>
      </c>
      <c r="P14" s="67">
        <f t="shared" si="5"/>
        <v>0</v>
      </c>
      <c r="Q14" s="68">
        <f t="shared" si="6"/>
        <v>0</v>
      </c>
    </row>
    <row r="15" spans="1:17" ht="33.75" customHeight="1">
      <c r="A15" s="84" t="str">
        <f>'DIA 08'!A15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si="4"/>
        <v>0</v>
      </c>
      <c r="P15" s="67">
        <f t="shared" si="5"/>
        <v>0</v>
      </c>
      <c r="Q15" s="68">
        <f t="shared" si="6"/>
        <v>0</v>
      </c>
    </row>
    <row r="16" spans="1:17" ht="33.75" customHeight="1">
      <c r="A16" s="84" t="str">
        <f>'DIA 08'!A16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4"/>
        <v>0</v>
      </c>
      <c r="P16" s="67">
        <f t="shared" si="5"/>
        <v>0</v>
      </c>
      <c r="Q16" s="68">
        <f t="shared" si="6"/>
        <v>0</v>
      </c>
    </row>
    <row r="17" spans="1:17" ht="33.75" customHeight="1">
      <c r="A17" s="84" t="str">
        <f>'DIA 08'!A17</f>
        <v>RE-009 (RETROEXCAVADORA)</v>
      </c>
      <c r="B17" s="24"/>
      <c r="C17" s="61"/>
      <c r="D17" s="72"/>
      <c r="E17" s="12"/>
      <c r="F17" s="12"/>
      <c r="G17" s="27"/>
      <c r="H17" s="42"/>
      <c r="I17" s="26"/>
      <c r="J17" s="14"/>
      <c r="K17" s="12"/>
      <c r="L17" s="12"/>
      <c r="M17" s="12"/>
      <c r="N17" s="37"/>
      <c r="O17" s="55">
        <f t="shared" si="4"/>
        <v>0</v>
      </c>
      <c r="P17" s="67">
        <f t="shared" si="5"/>
        <v>0</v>
      </c>
      <c r="Q17" s="68">
        <f t="shared" si="6"/>
        <v>0</v>
      </c>
    </row>
    <row r="18" spans="1:17" ht="33.75" customHeight="1">
      <c r="A18" s="84" t="str">
        <f>'DIA 08'!A18</f>
        <v>RE-010 (RETROEXCAVADORA)</v>
      </c>
      <c r="B18" s="24"/>
      <c r="C18" s="61"/>
      <c r="D18" s="72"/>
      <c r="E18" s="12"/>
      <c r="F18" s="12"/>
      <c r="G18" s="27"/>
      <c r="H18" s="42"/>
      <c r="I18" s="26">
        <v>6681</v>
      </c>
      <c r="J18" s="14">
        <v>58</v>
      </c>
      <c r="K18" s="12" t="s">
        <v>92</v>
      </c>
      <c r="L18" s="12" t="s">
        <v>81</v>
      </c>
      <c r="M18" s="12" t="s">
        <v>82</v>
      </c>
      <c r="N18" s="37"/>
      <c r="O18" s="55">
        <f t="shared" si="4"/>
        <v>58</v>
      </c>
      <c r="P18" s="67">
        <f t="shared" si="5"/>
        <v>0</v>
      </c>
      <c r="Q18" s="68">
        <f t="shared" si="6"/>
        <v>-6681</v>
      </c>
    </row>
    <row r="19" spans="1:17" ht="33.75" customHeight="1">
      <c r="A19" s="84" t="str">
        <f>'DIA 08'!A19</f>
        <v>ZN</v>
      </c>
      <c r="B19" s="24"/>
      <c r="C19" s="61"/>
      <c r="D19" s="72"/>
      <c r="E19" s="12"/>
      <c r="F19" s="12"/>
      <c r="G19" s="27"/>
      <c r="H19" s="42"/>
      <c r="I19" s="26"/>
      <c r="J19" s="14"/>
      <c r="K19" s="12"/>
      <c r="L19" s="12"/>
      <c r="M19" s="12"/>
      <c r="N19" s="37"/>
      <c r="O19" s="55">
        <f t="shared" si="4"/>
        <v>0</v>
      </c>
      <c r="P19" s="67">
        <f t="shared" si="5"/>
        <v>0</v>
      </c>
      <c r="Q19" s="68">
        <f t="shared" si="6"/>
        <v>0</v>
      </c>
    </row>
    <row r="20" spans="1:17" ht="33.75" customHeight="1">
      <c r="A20" s="84" t="str">
        <f>'DIA 08'!A20</f>
        <v>CBP-001 (BAJO PERFIL)</v>
      </c>
      <c r="B20" s="24"/>
      <c r="C20" s="61"/>
      <c r="D20" s="72"/>
      <c r="E20" s="12"/>
      <c r="F20" s="12"/>
      <c r="G20" s="27"/>
      <c r="H20" s="42"/>
      <c r="I20" s="26"/>
      <c r="J20" s="14"/>
      <c r="K20" s="12"/>
      <c r="L20" s="12"/>
      <c r="M20" s="12"/>
      <c r="N20" s="37"/>
      <c r="O20" s="55">
        <f t="shared" si="4"/>
        <v>0</v>
      </c>
      <c r="P20" s="67">
        <f t="shared" si="5"/>
        <v>0</v>
      </c>
      <c r="Q20" s="68">
        <f t="shared" si="6"/>
        <v>0</v>
      </c>
    </row>
    <row r="21" spans="1:17" ht="33.75" customHeight="1">
      <c r="A21" s="84" t="str">
        <f>'DIA 08'!A21</f>
        <v>MG-105</v>
      </c>
      <c r="B21" s="24">
        <v>3642.2</v>
      </c>
      <c r="C21" s="61">
        <v>333</v>
      </c>
      <c r="D21" s="72" t="s">
        <v>116</v>
      </c>
      <c r="E21" s="12" t="s">
        <v>106</v>
      </c>
      <c r="F21" s="12" t="s">
        <v>107</v>
      </c>
      <c r="G21" s="27"/>
      <c r="H21" s="42"/>
      <c r="I21" s="26"/>
      <c r="J21" s="14"/>
      <c r="K21" s="12"/>
      <c r="L21" s="12"/>
      <c r="M21" s="12"/>
      <c r="N21" s="37"/>
      <c r="O21" s="55">
        <f t="shared" si="4"/>
        <v>333</v>
      </c>
      <c r="P21" s="67">
        <f t="shared" si="5"/>
        <v>-3642.2</v>
      </c>
      <c r="Q21" s="68">
        <f t="shared" si="6"/>
        <v>0</v>
      </c>
    </row>
    <row r="22" spans="1:17" ht="33.75" customHeight="1">
      <c r="A22" s="84" t="str">
        <f>'DIA 08'!A22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4"/>
        <v>0</v>
      </c>
      <c r="P22" s="67">
        <f t="shared" si="5"/>
        <v>0</v>
      </c>
      <c r="Q22" s="68">
        <f t="shared" si="6"/>
        <v>0</v>
      </c>
    </row>
    <row r="23" spans="1:17" ht="33.75" customHeight="1">
      <c r="A23" s="84" t="str">
        <f>'DIA 08'!A23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4"/>
        <v>0</v>
      </c>
      <c r="P23" s="67">
        <f t="shared" si="5"/>
        <v>0</v>
      </c>
      <c r="Q23" s="68">
        <f t="shared" si="6"/>
        <v>0</v>
      </c>
    </row>
    <row r="24" spans="1:17" ht="33.75" customHeight="1">
      <c r="A24" s="84" t="str">
        <f>'DIA 08'!A24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ref="O24:O34" si="7">J24+C24</f>
        <v>0</v>
      </c>
      <c r="P24" s="67">
        <f t="shared" ref="P24:P34" si="8">G24-B24</f>
        <v>0</v>
      </c>
      <c r="Q24" s="68">
        <f t="shared" ref="Q24:Q34" si="9">N24-I24</f>
        <v>0</v>
      </c>
    </row>
    <row r="25" spans="1:17" ht="33.75" customHeight="1">
      <c r="A25" s="84" t="str">
        <f>'DIA 08'!A25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7"/>
        <v>0</v>
      </c>
      <c r="P25" s="67">
        <f t="shared" si="8"/>
        <v>0</v>
      </c>
      <c r="Q25" s="68">
        <f t="shared" si="9"/>
        <v>0</v>
      </c>
    </row>
    <row r="26" spans="1:17" ht="33.75" customHeight="1">
      <c r="A26" s="84" t="str">
        <f>'DIA 08'!A26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7"/>
        <v>0</v>
      </c>
      <c r="P26" s="67">
        <f t="shared" si="8"/>
        <v>0</v>
      </c>
      <c r="Q26" s="68">
        <f t="shared" si="9"/>
        <v>0</v>
      </c>
    </row>
    <row r="27" spans="1:17" ht="33.75" customHeight="1">
      <c r="A27" s="84" t="str">
        <f>'DIA 08'!A27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41"/>
      <c r="O27" s="55">
        <f t="shared" si="7"/>
        <v>0</v>
      </c>
      <c r="P27" s="67">
        <f t="shared" si="8"/>
        <v>0</v>
      </c>
      <c r="Q27" s="68">
        <f t="shared" si="9"/>
        <v>0</v>
      </c>
    </row>
    <row r="28" spans="1:17" ht="33.75" customHeight="1">
      <c r="A28" s="84" t="str">
        <f>'DIA 08'!A28</f>
        <v>MG-111</v>
      </c>
      <c r="B28" s="24"/>
      <c r="C28" s="62"/>
      <c r="D28" s="57"/>
      <c r="E28" s="13"/>
      <c r="F28" s="12"/>
      <c r="G28" s="28"/>
      <c r="H28" s="42"/>
      <c r="I28" s="26"/>
      <c r="J28" s="15"/>
      <c r="K28" s="13"/>
      <c r="L28" s="13"/>
      <c r="M28" s="13"/>
      <c r="N28" s="38"/>
      <c r="O28" s="55">
        <f t="shared" si="7"/>
        <v>0</v>
      </c>
      <c r="P28" s="67">
        <f t="shared" si="8"/>
        <v>0</v>
      </c>
      <c r="Q28" s="68">
        <f t="shared" si="9"/>
        <v>0</v>
      </c>
    </row>
    <row r="29" spans="1:17" ht="33.75" customHeight="1">
      <c r="A29" s="84" t="str">
        <f>'DIA 08'!A29</f>
        <v>MG-120</v>
      </c>
      <c r="B29" s="24"/>
      <c r="C29" s="62"/>
      <c r="D29" s="57"/>
      <c r="E29" s="13"/>
      <c r="F29" s="12"/>
      <c r="G29" s="28"/>
      <c r="H29" s="42"/>
      <c r="I29" s="26"/>
      <c r="J29" s="15"/>
      <c r="K29" s="13"/>
      <c r="L29" s="13"/>
      <c r="M29" s="13"/>
      <c r="N29" s="37"/>
      <c r="O29" s="55">
        <f t="shared" si="7"/>
        <v>0</v>
      </c>
      <c r="P29" s="67">
        <f t="shared" si="8"/>
        <v>0</v>
      </c>
      <c r="Q29" s="68">
        <f t="shared" si="9"/>
        <v>0</v>
      </c>
    </row>
    <row r="30" spans="1:17" ht="33.75" customHeight="1">
      <c r="A30" s="84" t="str">
        <f>'DIA 08'!A30</f>
        <v>PROSERMIN</v>
      </c>
      <c r="B30" s="24"/>
      <c r="C30" s="62">
        <v>105</v>
      </c>
      <c r="D30" s="57"/>
      <c r="E30" s="13"/>
      <c r="F30" s="12"/>
      <c r="G30" s="28"/>
      <c r="H30" s="42"/>
      <c r="I30" s="26"/>
      <c r="J30" s="15">
        <v>152</v>
      </c>
      <c r="K30" s="13"/>
      <c r="L30" s="13"/>
      <c r="M30" s="13"/>
      <c r="N30" s="37"/>
      <c r="O30" s="55">
        <f t="shared" si="7"/>
        <v>257</v>
      </c>
      <c r="P30" s="67">
        <f t="shared" si="8"/>
        <v>0</v>
      </c>
      <c r="Q30" s="68">
        <f t="shared" si="9"/>
        <v>0</v>
      </c>
    </row>
    <row r="31" spans="1:17" ht="33.75" customHeight="1">
      <c r="A31" s="84" t="str">
        <f>'DIA 08'!A31</f>
        <v>ST-060</v>
      </c>
      <c r="B31" s="24"/>
      <c r="C31" s="62"/>
      <c r="D31" s="57"/>
      <c r="E31" s="13"/>
      <c r="F31" s="12"/>
      <c r="G31" s="28"/>
      <c r="H31" s="42"/>
      <c r="I31" s="26"/>
      <c r="J31" s="15"/>
      <c r="K31" s="13"/>
      <c r="L31" s="13"/>
      <c r="M31" s="13"/>
      <c r="N31" s="37"/>
      <c r="O31" s="55">
        <f t="shared" si="7"/>
        <v>0</v>
      </c>
      <c r="P31" s="67">
        <f t="shared" si="8"/>
        <v>0</v>
      </c>
      <c r="Q31" s="68">
        <f t="shared" si="9"/>
        <v>0</v>
      </c>
    </row>
    <row r="32" spans="1:17" ht="33.75" customHeight="1">
      <c r="A32" s="84" t="str">
        <f>'DIA 08'!A32</f>
        <v>ST-53</v>
      </c>
      <c r="B32" s="24"/>
      <c r="C32" s="62"/>
      <c r="D32" s="57"/>
      <c r="E32" s="13"/>
      <c r="F32" s="12"/>
      <c r="G32" s="28"/>
      <c r="H32" s="42"/>
      <c r="I32" s="26"/>
      <c r="J32" s="15"/>
      <c r="K32" s="13"/>
      <c r="L32" s="13"/>
      <c r="M32" s="13"/>
      <c r="N32" s="37"/>
      <c r="O32" s="55">
        <f t="shared" si="7"/>
        <v>0</v>
      </c>
      <c r="P32" s="67">
        <f t="shared" si="8"/>
        <v>0</v>
      </c>
      <c r="Q32" s="68">
        <f t="shared" si="9"/>
        <v>0</v>
      </c>
    </row>
    <row r="33" spans="1:21" ht="33.75" customHeight="1">
      <c r="A33" s="84" t="str">
        <f>'DIA 08'!A33</f>
        <v>ST-039</v>
      </c>
      <c r="B33" s="30"/>
      <c r="C33" s="64"/>
      <c r="D33" s="74"/>
      <c r="E33" s="19"/>
      <c r="F33" s="12"/>
      <c r="G33" s="31"/>
      <c r="H33" s="43"/>
      <c r="I33" s="26"/>
      <c r="J33" s="18"/>
      <c r="K33" s="76"/>
      <c r="L33" s="76"/>
      <c r="M33" s="19"/>
      <c r="N33" s="41"/>
      <c r="O33" s="55">
        <f t="shared" si="7"/>
        <v>0</v>
      </c>
      <c r="P33" s="67">
        <f t="shared" si="8"/>
        <v>0</v>
      </c>
      <c r="Q33" s="68">
        <f t="shared" si="9"/>
        <v>0</v>
      </c>
    </row>
    <row r="34" spans="1:21" ht="33.75" customHeight="1" thickBot="1">
      <c r="A34" s="84" t="str">
        <f>'DIA 08'!A34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 t="shared" si="7"/>
        <v>0</v>
      </c>
      <c r="P34" s="67">
        <f t="shared" si="8"/>
        <v>0</v>
      </c>
      <c r="Q34" s="68">
        <f t="shared" si="9"/>
        <v>0</v>
      </c>
    </row>
    <row r="35" spans="1:21" ht="39" customHeight="1" thickBot="1">
      <c r="A35" s="83" t="s">
        <v>0</v>
      </c>
      <c r="B35" s="11"/>
      <c r="C35" s="58">
        <f>SUM(C7:C34)</f>
        <v>803</v>
      </c>
      <c r="D35" s="10"/>
      <c r="E35" s="11"/>
      <c r="F35" s="11"/>
      <c r="G35" s="11"/>
      <c r="H35" s="11"/>
      <c r="I35" s="11"/>
      <c r="J35" s="59">
        <f>SUM(J7:J34)</f>
        <v>500</v>
      </c>
      <c r="K35" s="50"/>
      <c r="L35" s="50"/>
      <c r="M35" s="49"/>
      <c r="N35" s="49"/>
      <c r="O35" s="85">
        <f>C35+J35</f>
        <v>1303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O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94" priority="1" operator="containsText" text="NO TRABAJO">
      <formula>NOT(ISERROR(SEARCH("NO TRABAJO",O7)))</formula>
    </cfRule>
    <cfRule type="containsText" dxfId="93" priority="2" operator="containsText" text="FUERA DE SERVICIO">
      <formula>NOT(ISERROR(SEARCH("FUERA DE SERVICIO",O7)))</formula>
    </cfRule>
    <cfRule type="containsText" dxfId="92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4FB8-CA03-4BCC-B7FC-7823896AF0DE}">
  <sheetPr>
    <pageSetUpPr fitToPage="1"/>
  </sheetPr>
  <dimension ref="A1:U56"/>
  <sheetViews>
    <sheetView showGridLines="0" view="pageBreakPreview" topLeftCell="A4" zoomScale="50" zoomScaleNormal="100" zoomScaleSheetLayoutView="50" workbookViewId="0">
      <selection activeCell="L28" sqref="L28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09'!Q2+O2</f>
        <v>6537</v>
      </c>
      <c r="Q2" s="160">
        <f>P2-O35</f>
        <v>5175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70"/>
      <c r="P4" s="77"/>
      <c r="Q4" s="78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0"/>
      <c r="P5" s="79"/>
      <c r="Q5" s="80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09'!O6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09'!A7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09'!A8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34" si="3">J8+C8</f>
        <v>0</v>
      </c>
      <c r="P8" s="67">
        <f t="shared" si="1"/>
        <v>0</v>
      </c>
      <c r="Q8" s="68">
        <f t="shared" si="2"/>
        <v>0</v>
      </c>
    </row>
    <row r="9" spans="1:17" ht="33.75" customHeight="1">
      <c r="A9" s="84" t="str">
        <f>'DIA 09'!A9</f>
        <v>ST-036 R1300</v>
      </c>
      <c r="B9" s="24">
        <v>9054.5</v>
      </c>
      <c r="C9" s="61">
        <v>156</v>
      </c>
      <c r="D9" s="72" t="s">
        <v>104</v>
      </c>
      <c r="E9" s="12" t="s">
        <v>117</v>
      </c>
      <c r="F9" s="12" t="s">
        <v>107</v>
      </c>
      <c r="G9" s="27"/>
      <c r="H9" s="42"/>
      <c r="I9" s="26">
        <v>9060</v>
      </c>
      <c r="J9" s="14">
        <v>68</v>
      </c>
      <c r="K9" s="12" t="s">
        <v>82</v>
      </c>
      <c r="L9" s="12" t="s">
        <v>81</v>
      </c>
      <c r="M9" s="12" t="s">
        <v>82</v>
      </c>
      <c r="N9" s="37"/>
      <c r="O9" s="55">
        <f t="shared" ref="O9:O18" si="4">J9+C9</f>
        <v>224</v>
      </c>
      <c r="P9" s="67">
        <f t="shared" ref="P9:P18" si="5">G9-B9</f>
        <v>-9054.5</v>
      </c>
      <c r="Q9" s="68">
        <f t="shared" ref="Q9:Q18" si="6">N9-I9</f>
        <v>-9060</v>
      </c>
    </row>
    <row r="10" spans="1:17" ht="33.75" customHeight="1">
      <c r="A10" s="84" t="str">
        <f>'DIA 09'!A10</f>
        <v>ST-018</v>
      </c>
      <c r="B10" s="24">
        <v>9674.2000000000007</v>
      </c>
      <c r="C10" s="61">
        <v>169</v>
      </c>
      <c r="D10" s="72" t="s">
        <v>104</v>
      </c>
      <c r="E10" s="12" t="s">
        <v>117</v>
      </c>
      <c r="F10" s="12" t="s">
        <v>107</v>
      </c>
      <c r="G10" s="27"/>
      <c r="H10" s="42"/>
      <c r="I10" s="26"/>
      <c r="J10" s="14"/>
      <c r="K10" s="12"/>
      <c r="L10" s="12"/>
      <c r="M10" s="12"/>
      <c r="N10" s="37"/>
      <c r="O10" s="55">
        <f t="shared" si="4"/>
        <v>169</v>
      </c>
      <c r="P10" s="67">
        <f t="shared" si="5"/>
        <v>-9674.2000000000007</v>
      </c>
      <c r="Q10" s="68">
        <f t="shared" si="6"/>
        <v>0</v>
      </c>
    </row>
    <row r="11" spans="1:17" ht="33.75" customHeight="1">
      <c r="A11" s="84" t="str">
        <f>'DIA 09'!A11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4"/>
        <v>0</v>
      </c>
      <c r="P11" s="67">
        <f t="shared" si="5"/>
        <v>0</v>
      </c>
      <c r="Q11" s="68">
        <f t="shared" si="6"/>
        <v>0</v>
      </c>
    </row>
    <row r="12" spans="1:17" ht="33.75" customHeight="1">
      <c r="A12" s="84" t="str">
        <f>'DIA 09'!A12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4"/>
        <v>0</v>
      </c>
      <c r="P12" s="67">
        <f t="shared" si="5"/>
        <v>0</v>
      </c>
      <c r="Q12" s="68">
        <f t="shared" si="6"/>
        <v>0</v>
      </c>
    </row>
    <row r="13" spans="1:17" ht="33.75" customHeight="1">
      <c r="A13" s="84" t="str">
        <f>'DIA 09'!A13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4"/>
        <v>0</v>
      </c>
      <c r="P13" s="67">
        <f t="shared" si="5"/>
        <v>0</v>
      </c>
      <c r="Q13" s="68">
        <f t="shared" si="6"/>
        <v>0</v>
      </c>
    </row>
    <row r="14" spans="1:17" ht="33.75" customHeight="1">
      <c r="A14" s="84" t="str">
        <f>'DIA 09'!A14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4"/>
        <v>0</v>
      </c>
      <c r="P14" s="67">
        <f t="shared" si="5"/>
        <v>0</v>
      </c>
      <c r="Q14" s="68">
        <f t="shared" si="6"/>
        <v>0</v>
      </c>
    </row>
    <row r="15" spans="1:17" ht="33.75" customHeight="1">
      <c r="A15" s="84" t="str">
        <f>'DIA 09'!A15</f>
        <v>JA-007 RESEMIN</v>
      </c>
      <c r="B15" s="24"/>
      <c r="C15" s="61"/>
      <c r="D15" s="72"/>
      <c r="E15" s="12"/>
      <c r="F15" s="12"/>
      <c r="G15" s="27"/>
      <c r="H15" s="42"/>
      <c r="I15" s="26">
        <v>764.5</v>
      </c>
      <c r="J15" s="14">
        <v>30</v>
      </c>
      <c r="K15" s="12" t="s">
        <v>85</v>
      </c>
      <c r="L15" s="12" t="s">
        <v>81</v>
      </c>
      <c r="M15" s="12" t="s">
        <v>82</v>
      </c>
      <c r="N15" s="37"/>
      <c r="O15" s="55">
        <f t="shared" si="4"/>
        <v>30</v>
      </c>
      <c r="P15" s="67">
        <f t="shared" si="5"/>
        <v>0</v>
      </c>
      <c r="Q15" s="68">
        <f t="shared" si="6"/>
        <v>-764.5</v>
      </c>
    </row>
    <row r="16" spans="1:17" ht="33.75" customHeight="1">
      <c r="A16" s="84" t="str">
        <f>'DIA 09'!A16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4"/>
        <v>0</v>
      </c>
      <c r="P16" s="67">
        <f t="shared" si="5"/>
        <v>0</v>
      </c>
      <c r="Q16" s="68">
        <f t="shared" si="6"/>
        <v>0</v>
      </c>
    </row>
    <row r="17" spans="1:17" ht="33.75" customHeight="1">
      <c r="A17" s="84" t="str">
        <f>'DIA 09'!A17</f>
        <v>RE-009 (RETROEXCAVADORA)</v>
      </c>
      <c r="B17" s="24"/>
      <c r="C17" s="61"/>
      <c r="D17" s="72"/>
      <c r="E17" s="12"/>
      <c r="F17" s="12"/>
      <c r="G17" s="27"/>
      <c r="H17" s="42"/>
      <c r="I17" s="26">
        <v>6694.1</v>
      </c>
      <c r="J17" s="14">
        <v>61</v>
      </c>
      <c r="K17" s="12" t="s">
        <v>92</v>
      </c>
      <c r="L17" s="12" t="s">
        <v>81</v>
      </c>
      <c r="M17" s="12" t="s">
        <v>82</v>
      </c>
      <c r="N17" s="37"/>
      <c r="O17" s="55">
        <f t="shared" si="4"/>
        <v>61</v>
      </c>
      <c r="P17" s="67">
        <f t="shared" si="5"/>
        <v>0</v>
      </c>
      <c r="Q17" s="68">
        <f t="shared" si="6"/>
        <v>-6694.1</v>
      </c>
    </row>
    <row r="18" spans="1:17" ht="33.75" customHeight="1">
      <c r="A18" s="84" t="str">
        <f>'DIA 09'!A18</f>
        <v>RE-010 (RETROEXCAVADORA)</v>
      </c>
      <c r="B18" s="24"/>
      <c r="C18" s="61"/>
      <c r="D18" s="72"/>
      <c r="E18" s="12"/>
      <c r="F18" s="12"/>
      <c r="G18" s="27"/>
      <c r="H18" s="42"/>
      <c r="I18" s="26">
        <v>2816.2</v>
      </c>
      <c r="J18" s="14">
        <v>64</v>
      </c>
      <c r="K18" s="12" t="s">
        <v>118</v>
      </c>
      <c r="L18" s="12" t="s">
        <v>81</v>
      </c>
      <c r="M18" s="12" t="s">
        <v>82</v>
      </c>
      <c r="N18" s="37"/>
      <c r="O18" s="55">
        <f t="shared" si="4"/>
        <v>64</v>
      </c>
      <c r="P18" s="67">
        <f t="shared" si="5"/>
        <v>0</v>
      </c>
      <c r="Q18" s="68">
        <f t="shared" si="6"/>
        <v>-2816.2</v>
      </c>
    </row>
    <row r="19" spans="1:17" ht="33.75" customHeight="1">
      <c r="A19" s="84" t="str">
        <f>'DIA 09'!A19</f>
        <v>ZN</v>
      </c>
      <c r="B19" s="24"/>
      <c r="C19" s="61"/>
      <c r="D19" s="72"/>
      <c r="E19" s="12"/>
      <c r="F19" s="12"/>
      <c r="G19" s="27"/>
      <c r="H19" s="42"/>
      <c r="I19" s="26"/>
      <c r="J19" s="14"/>
      <c r="K19" s="12"/>
      <c r="L19" s="12"/>
      <c r="M19" s="12"/>
      <c r="N19" s="37"/>
      <c r="O19" s="55">
        <f t="shared" ref="O19:O26" si="7">J19+C19</f>
        <v>0</v>
      </c>
      <c r="P19" s="67">
        <f t="shared" ref="P19:P26" si="8">G19-B19</f>
        <v>0</v>
      </c>
      <c r="Q19" s="68">
        <f t="shared" ref="Q19:Q26" si="9">N19-I19</f>
        <v>0</v>
      </c>
    </row>
    <row r="20" spans="1:17" ht="33.75" customHeight="1">
      <c r="A20" s="84" t="str">
        <f>'DIA 09'!A20</f>
        <v>CBP-001 (BAJO PERFIL)</v>
      </c>
      <c r="B20" s="24"/>
      <c r="C20" s="61"/>
      <c r="D20" s="72"/>
      <c r="E20" s="12"/>
      <c r="F20" s="12"/>
      <c r="G20" s="27"/>
      <c r="H20" s="42"/>
      <c r="I20" s="26"/>
      <c r="J20" s="14"/>
      <c r="K20" s="12"/>
      <c r="L20" s="12"/>
      <c r="M20" s="12"/>
      <c r="N20" s="37"/>
      <c r="O20" s="55">
        <f t="shared" si="7"/>
        <v>0</v>
      </c>
      <c r="P20" s="67">
        <f t="shared" si="8"/>
        <v>0</v>
      </c>
      <c r="Q20" s="68">
        <f t="shared" si="9"/>
        <v>0</v>
      </c>
    </row>
    <row r="21" spans="1:17" ht="33.75" customHeight="1">
      <c r="A21" s="84" t="str">
        <f>'DIA 09'!A21</f>
        <v>MG-105</v>
      </c>
      <c r="B21" s="24"/>
      <c r="C21" s="61"/>
      <c r="D21" s="72"/>
      <c r="E21" s="12"/>
      <c r="F21" s="12"/>
      <c r="G21" s="27"/>
      <c r="H21" s="42"/>
      <c r="I21" s="26"/>
      <c r="J21" s="14"/>
      <c r="K21" s="12"/>
      <c r="L21" s="12"/>
      <c r="M21" s="12"/>
      <c r="N21" s="37"/>
      <c r="O21" s="55">
        <f t="shared" si="7"/>
        <v>0</v>
      </c>
      <c r="P21" s="67">
        <f t="shared" si="8"/>
        <v>0</v>
      </c>
      <c r="Q21" s="68">
        <f t="shared" si="9"/>
        <v>0</v>
      </c>
    </row>
    <row r="22" spans="1:17" ht="33.75" customHeight="1">
      <c r="A22" s="84" t="str">
        <f>'DIA 09'!A22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7"/>
        <v>0</v>
      </c>
      <c r="P22" s="67">
        <f t="shared" si="8"/>
        <v>0</v>
      </c>
      <c r="Q22" s="68">
        <f t="shared" si="9"/>
        <v>0</v>
      </c>
    </row>
    <row r="23" spans="1:17" ht="33.75" customHeight="1">
      <c r="A23" s="84" t="str">
        <f>'DIA 09'!A23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7"/>
        <v>0</v>
      </c>
      <c r="P23" s="67">
        <f t="shared" si="8"/>
        <v>0</v>
      </c>
      <c r="Q23" s="68">
        <f t="shared" si="9"/>
        <v>0</v>
      </c>
    </row>
    <row r="24" spans="1:17" ht="33.75" customHeight="1">
      <c r="A24" s="84" t="str">
        <f>'DIA 09'!A24</f>
        <v>MG-033 (PERSONAL)</v>
      </c>
      <c r="B24" s="24"/>
      <c r="C24" s="60">
        <v>68</v>
      </c>
      <c r="D24" s="71" t="s">
        <v>93</v>
      </c>
      <c r="E24" s="12" t="s">
        <v>117</v>
      </c>
      <c r="F24" s="12" t="s">
        <v>107</v>
      </c>
      <c r="G24" s="25"/>
      <c r="H24" s="42"/>
      <c r="I24" s="26"/>
      <c r="J24" s="16"/>
      <c r="K24" s="12"/>
      <c r="L24" s="12"/>
      <c r="M24" s="12"/>
      <c r="N24" s="37"/>
      <c r="O24" s="55">
        <f t="shared" si="7"/>
        <v>68</v>
      </c>
      <c r="P24" s="67">
        <f t="shared" si="8"/>
        <v>0</v>
      </c>
      <c r="Q24" s="68">
        <f t="shared" si="9"/>
        <v>0</v>
      </c>
    </row>
    <row r="25" spans="1:17" ht="33.75" customHeight="1">
      <c r="A25" s="84" t="str">
        <f>'DIA 09'!A25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7"/>
        <v>0</v>
      </c>
      <c r="P25" s="67">
        <f t="shared" si="8"/>
        <v>0</v>
      </c>
      <c r="Q25" s="68">
        <f t="shared" si="9"/>
        <v>0</v>
      </c>
    </row>
    <row r="26" spans="1:17" ht="33.75" customHeight="1">
      <c r="A26" s="84" t="str">
        <f>'DIA 09'!A26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7"/>
        <v>0</v>
      </c>
      <c r="P26" s="67">
        <f t="shared" si="8"/>
        <v>0</v>
      </c>
      <c r="Q26" s="68">
        <f t="shared" si="9"/>
        <v>0</v>
      </c>
    </row>
    <row r="27" spans="1:17" ht="33.75" customHeight="1">
      <c r="A27" s="84" t="str">
        <f>'DIA 09'!A27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41"/>
      <c r="O27" s="55">
        <f t="shared" si="3"/>
        <v>0</v>
      </c>
      <c r="P27" s="67">
        <f t="shared" si="1"/>
        <v>0</v>
      </c>
      <c r="Q27" s="68">
        <f t="shared" si="2"/>
        <v>0</v>
      </c>
    </row>
    <row r="28" spans="1:17" ht="33.75" customHeight="1">
      <c r="A28" s="84" t="str">
        <f>'DIA 09'!A28</f>
        <v>MG-111</v>
      </c>
      <c r="B28" s="24"/>
      <c r="C28" s="62"/>
      <c r="D28" s="57"/>
      <c r="E28" s="13"/>
      <c r="F28" s="12"/>
      <c r="G28" s="28"/>
      <c r="H28" s="42"/>
      <c r="I28" s="26"/>
      <c r="J28" s="15"/>
      <c r="K28" s="13"/>
      <c r="L28" s="13"/>
      <c r="M28" s="13"/>
      <c r="N28" s="38"/>
      <c r="O28" s="55">
        <f t="shared" si="3"/>
        <v>0</v>
      </c>
      <c r="P28" s="67">
        <f t="shared" si="1"/>
        <v>0</v>
      </c>
      <c r="Q28" s="68">
        <f t="shared" si="2"/>
        <v>0</v>
      </c>
    </row>
    <row r="29" spans="1:17" ht="33.75" customHeight="1">
      <c r="A29" s="84" t="str">
        <f>'DIA 09'!A29</f>
        <v>MG-120</v>
      </c>
      <c r="B29" s="24"/>
      <c r="C29" s="62"/>
      <c r="D29" s="57"/>
      <c r="E29" s="13"/>
      <c r="F29" s="12"/>
      <c r="G29" s="28"/>
      <c r="H29" s="42"/>
      <c r="I29" s="26"/>
      <c r="J29" s="15"/>
      <c r="K29" s="13"/>
      <c r="L29" s="13"/>
      <c r="M29" s="13"/>
      <c r="N29" s="37"/>
      <c r="O29" s="55">
        <f t="shared" si="3"/>
        <v>0</v>
      </c>
      <c r="P29" s="67">
        <f t="shared" si="1"/>
        <v>0</v>
      </c>
      <c r="Q29" s="68">
        <f t="shared" si="2"/>
        <v>0</v>
      </c>
    </row>
    <row r="30" spans="1:17" ht="33.75" customHeight="1">
      <c r="A30" s="84" t="str">
        <f>'DIA 09'!A30</f>
        <v>PROSERMIN</v>
      </c>
      <c r="B30" s="24"/>
      <c r="C30" s="62">
        <v>173</v>
      </c>
      <c r="D30" s="57"/>
      <c r="E30" s="13"/>
      <c r="F30" s="12"/>
      <c r="G30" s="28"/>
      <c r="H30" s="42"/>
      <c r="I30" s="26"/>
      <c r="J30" s="15">
        <v>154</v>
      </c>
      <c r="K30" s="13"/>
      <c r="L30" s="13"/>
      <c r="M30" s="13"/>
      <c r="N30" s="37"/>
      <c r="O30" s="55">
        <f t="shared" si="3"/>
        <v>327</v>
      </c>
      <c r="P30" s="67">
        <f t="shared" si="1"/>
        <v>0</v>
      </c>
      <c r="Q30" s="68">
        <f t="shared" si="2"/>
        <v>0</v>
      </c>
    </row>
    <row r="31" spans="1:17" ht="33.75" customHeight="1">
      <c r="A31" s="84" t="str">
        <f>'DIA 09'!A31</f>
        <v>ST-060</v>
      </c>
      <c r="B31" s="24"/>
      <c r="C31" s="62"/>
      <c r="D31" s="57"/>
      <c r="E31" s="13"/>
      <c r="F31" s="12"/>
      <c r="G31" s="28"/>
      <c r="H31" s="42"/>
      <c r="I31" s="26"/>
      <c r="J31" s="15"/>
      <c r="K31" s="13"/>
      <c r="L31" s="13"/>
      <c r="M31" s="13"/>
      <c r="N31" s="37"/>
      <c r="O31" s="55">
        <f t="shared" si="3"/>
        <v>0</v>
      </c>
      <c r="P31" s="67">
        <f t="shared" ref="P31:P32" si="10">G31-B31</f>
        <v>0</v>
      </c>
      <c r="Q31" s="68">
        <f t="shared" ref="Q31:Q32" si="11">N31-I31</f>
        <v>0</v>
      </c>
    </row>
    <row r="32" spans="1:17" ht="33.75" customHeight="1">
      <c r="A32" s="84" t="str">
        <f>'DIA 09'!A32</f>
        <v>ST-53</v>
      </c>
      <c r="B32" s="24"/>
      <c r="C32" s="62"/>
      <c r="D32" s="57"/>
      <c r="E32" s="13"/>
      <c r="F32" s="12"/>
      <c r="G32" s="28"/>
      <c r="H32" s="42"/>
      <c r="I32" s="26"/>
      <c r="J32" s="15"/>
      <c r="K32" s="13"/>
      <c r="L32" s="13"/>
      <c r="M32" s="13"/>
      <c r="N32" s="37"/>
      <c r="O32" s="55">
        <f t="shared" si="3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09'!A33</f>
        <v>ST-039</v>
      </c>
      <c r="B33" s="24">
        <v>9428.2000000000007</v>
      </c>
      <c r="C33" s="62">
        <v>174</v>
      </c>
      <c r="D33" s="57" t="s">
        <v>105</v>
      </c>
      <c r="E33" s="13" t="s">
        <v>117</v>
      </c>
      <c r="F33" s="12" t="s">
        <v>107</v>
      </c>
      <c r="G33" s="28"/>
      <c r="H33" s="43"/>
      <c r="I33" s="26">
        <v>9436.9</v>
      </c>
      <c r="J33" s="18">
        <v>199</v>
      </c>
      <c r="K33" s="19" t="s">
        <v>83</v>
      </c>
      <c r="L33" s="76" t="s">
        <v>81</v>
      </c>
      <c r="M33" s="19" t="s">
        <v>82</v>
      </c>
      <c r="N33" s="41"/>
      <c r="O33" s="55">
        <f t="shared" si="3"/>
        <v>373</v>
      </c>
      <c r="P33" s="67">
        <f t="shared" si="1"/>
        <v>-9428.2000000000007</v>
      </c>
      <c r="Q33" s="68">
        <f t="shared" si="2"/>
        <v>-9436.9</v>
      </c>
    </row>
    <row r="34" spans="1:21" ht="33.75" customHeight="1" thickBot="1">
      <c r="A34" s="84" t="str">
        <f>'DIA 09'!A34</f>
        <v>JL-025</v>
      </c>
      <c r="B34" s="32"/>
      <c r="C34" s="65"/>
      <c r="D34" s="75"/>
      <c r="E34" s="34"/>
      <c r="F34" s="35"/>
      <c r="G34" s="36"/>
      <c r="H34" s="44"/>
      <c r="I34" s="39">
        <v>4179.3</v>
      </c>
      <c r="J34" s="33">
        <v>46</v>
      </c>
      <c r="K34" s="34" t="s">
        <v>119</v>
      </c>
      <c r="L34" s="34" t="s">
        <v>81</v>
      </c>
      <c r="M34" s="34" t="s">
        <v>82</v>
      </c>
      <c r="N34" s="40"/>
      <c r="O34" s="55">
        <f t="shared" si="3"/>
        <v>46</v>
      </c>
      <c r="P34" s="69">
        <f t="shared" si="1"/>
        <v>0</v>
      </c>
      <c r="Q34" s="70">
        <f t="shared" si="2"/>
        <v>-4179.3</v>
      </c>
    </row>
    <row r="35" spans="1:21" ht="39" customHeight="1" thickBot="1">
      <c r="A35" s="83" t="s">
        <v>0</v>
      </c>
      <c r="B35" s="11"/>
      <c r="C35" s="58">
        <f>SUM(C7:C34)</f>
        <v>740</v>
      </c>
      <c r="D35" s="10"/>
      <c r="E35" s="11"/>
      <c r="F35" s="11"/>
      <c r="G35" s="11"/>
      <c r="H35" s="11"/>
      <c r="I35" s="11"/>
      <c r="J35" s="59">
        <f>SUM(J7:J34)</f>
        <v>622</v>
      </c>
      <c r="K35" s="50"/>
      <c r="L35" s="50"/>
      <c r="M35" s="49"/>
      <c r="N35" s="49"/>
      <c r="O35" s="85">
        <f>C35+J35</f>
        <v>1362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O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91" priority="1" operator="containsText" text="NO TRABAJO">
      <formula>NOT(ISERROR(SEARCH("NO TRABAJO",O7)))</formula>
    </cfRule>
    <cfRule type="containsText" dxfId="90" priority="2" operator="containsText" text="FUERA DE SERVICIO">
      <formula>NOT(ISERROR(SEARCH("FUERA DE SERVICIO",O7)))</formula>
    </cfRule>
    <cfRule type="containsText" dxfId="89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BB05-A552-48C1-943E-8E123ABA91BB}">
  <sheetPr>
    <pageSetUpPr fitToPage="1"/>
  </sheetPr>
  <dimension ref="A1:U56"/>
  <sheetViews>
    <sheetView showGridLines="0" view="pageBreakPreview" topLeftCell="A19" zoomScale="60" zoomScaleNormal="100" workbookViewId="0">
      <selection activeCell="J34" sqref="J34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>
        <v>15850</v>
      </c>
      <c r="P2" s="187">
        <f>'DIA 10'!Q2+O2</f>
        <v>21025</v>
      </c>
      <c r="Q2" s="160">
        <f>P2-O35</f>
        <v>19229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70"/>
      <c r="P4" s="77"/>
      <c r="Q4" s="78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0"/>
      <c r="P5" s="79"/>
      <c r="Q5" s="80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10'!O6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10'!A7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10'!A8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34" si="3">J8+C8</f>
        <v>0</v>
      </c>
      <c r="P8" s="67">
        <f t="shared" si="1"/>
        <v>0</v>
      </c>
      <c r="Q8" s="68">
        <f t="shared" si="2"/>
        <v>0</v>
      </c>
    </row>
    <row r="9" spans="1:17" ht="33.75" customHeight="1">
      <c r="A9" s="84" t="str">
        <f>'DIA 10'!A9</f>
        <v>ST-036 R1300</v>
      </c>
      <c r="B9" s="24">
        <v>9069</v>
      </c>
      <c r="C9" s="61">
        <v>175</v>
      </c>
      <c r="D9" s="72" t="s">
        <v>104</v>
      </c>
      <c r="E9" s="12" t="s">
        <v>117</v>
      </c>
      <c r="F9" s="12" t="s">
        <v>107</v>
      </c>
      <c r="G9" s="27"/>
      <c r="H9" s="42"/>
      <c r="I9" s="26">
        <v>9078.5</v>
      </c>
      <c r="J9" s="14">
        <v>121</v>
      </c>
      <c r="K9" s="12" t="s">
        <v>82</v>
      </c>
      <c r="L9" s="12" t="s">
        <v>81</v>
      </c>
      <c r="M9" s="12" t="s">
        <v>82</v>
      </c>
      <c r="N9" s="37"/>
      <c r="O9" s="55">
        <f t="shared" ref="O9:O16" si="4">J9+C9</f>
        <v>296</v>
      </c>
      <c r="P9" s="67">
        <f t="shared" ref="P9:P16" si="5">G9-B9</f>
        <v>-9069</v>
      </c>
      <c r="Q9" s="68">
        <f t="shared" ref="Q9:Q16" si="6">N9-I9</f>
        <v>-9078.5</v>
      </c>
    </row>
    <row r="10" spans="1:17" ht="33.75" customHeight="1">
      <c r="A10" s="84" t="str">
        <f>'DIA 10'!A10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si="4"/>
        <v>0</v>
      </c>
      <c r="P10" s="67">
        <f t="shared" si="5"/>
        <v>0</v>
      </c>
      <c r="Q10" s="68">
        <f t="shared" si="6"/>
        <v>0</v>
      </c>
    </row>
    <row r="11" spans="1:17" ht="33.75" customHeight="1">
      <c r="A11" s="84" t="str">
        <f>'DIA 10'!A11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4"/>
        <v>0</v>
      </c>
      <c r="P11" s="67">
        <f t="shared" si="5"/>
        <v>0</v>
      </c>
      <c r="Q11" s="68">
        <f t="shared" si="6"/>
        <v>0</v>
      </c>
    </row>
    <row r="12" spans="1:17" ht="33.75" customHeight="1">
      <c r="A12" s="84" t="str">
        <f>'DIA 10'!A12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4"/>
        <v>0</v>
      </c>
      <c r="P12" s="67">
        <f t="shared" si="5"/>
        <v>0</v>
      </c>
      <c r="Q12" s="68">
        <f t="shared" si="6"/>
        <v>0</v>
      </c>
    </row>
    <row r="13" spans="1:17" ht="33.75" customHeight="1">
      <c r="A13" s="84" t="str">
        <f>'DIA 10'!A13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4"/>
        <v>0</v>
      </c>
      <c r="P13" s="67">
        <f t="shared" si="5"/>
        <v>0</v>
      </c>
      <c r="Q13" s="68">
        <f t="shared" si="6"/>
        <v>0</v>
      </c>
    </row>
    <row r="14" spans="1:17" ht="33.75" customHeight="1">
      <c r="A14" s="84" t="str">
        <f>'DIA 10'!A14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4"/>
        <v>0</v>
      </c>
      <c r="P14" s="67">
        <f t="shared" si="5"/>
        <v>0</v>
      </c>
      <c r="Q14" s="68">
        <f t="shared" si="6"/>
        <v>0</v>
      </c>
    </row>
    <row r="15" spans="1:17" ht="33.75" customHeight="1">
      <c r="A15" s="84" t="str">
        <f>'DIA 10'!A15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si="4"/>
        <v>0</v>
      </c>
      <c r="P15" s="67">
        <f t="shared" si="5"/>
        <v>0</v>
      </c>
      <c r="Q15" s="68">
        <f t="shared" si="6"/>
        <v>0</v>
      </c>
    </row>
    <row r="16" spans="1:17" ht="33.75" customHeight="1">
      <c r="A16" s="84" t="str">
        <f>'DIA 10'!A16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4"/>
        <v>0</v>
      </c>
      <c r="P16" s="67">
        <f t="shared" si="5"/>
        <v>0</v>
      </c>
      <c r="Q16" s="68">
        <f t="shared" si="6"/>
        <v>0</v>
      </c>
    </row>
    <row r="17" spans="1:17" ht="33.75" customHeight="1">
      <c r="A17" s="84" t="str">
        <f>'DIA 10'!A17</f>
        <v>RE-009 (RETROEXCAVADORA)</v>
      </c>
      <c r="B17" s="24"/>
      <c r="C17" s="61"/>
      <c r="D17" s="72"/>
      <c r="E17" s="12"/>
      <c r="F17" s="12"/>
      <c r="G17" s="25"/>
      <c r="H17" s="42"/>
      <c r="I17" s="26">
        <v>678.4</v>
      </c>
      <c r="J17" s="14">
        <v>41</v>
      </c>
      <c r="K17" s="12" t="s">
        <v>118</v>
      </c>
      <c r="L17" s="12" t="s">
        <v>81</v>
      </c>
      <c r="M17" s="12" t="s">
        <v>82</v>
      </c>
      <c r="N17" s="37"/>
      <c r="O17" s="55">
        <f t="shared" si="3"/>
        <v>41</v>
      </c>
      <c r="P17" s="67">
        <f t="shared" si="1"/>
        <v>0</v>
      </c>
      <c r="Q17" s="68">
        <f t="shared" si="2"/>
        <v>-678.4</v>
      </c>
    </row>
    <row r="18" spans="1:17" ht="33.75" customHeight="1">
      <c r="A18" s="84" t="str">
        <f>'DIA 10'!A18</f>
        <v>RE-010 (RETROEXCAVADORA)</v>
      </c>
      <c r="B18" s="24"/>
      <c r="C18" s="61"/>
      <c r="D18" s="72"/>
      <c r="E18" s="12"/>
      <c r="F18" s="12"/>
      <c r="G18" s="25"/>
      <c r="H18" s="42"/>
      <c r="I18" s="26">
        <v>2826.3</v>
      </c>
      <c r="J18" s="14">
        <v>61</v>
      </c>
      <c r="K18" s="12" t="s">
        <v>92</v>
      </c>
      <c r="L18" s="12" t="s">
        <v>81</v>
      </c>
      <c r="M18" s="12" t="s">
        <v>82</v>
      </c>
      <c r="N18" s="37"/>
      <c r="O18" s="55">
        <f t="shared" ref="O18:O28" si="7">J18+C18</f>
        <v>61</v>
      </c>
      <c r="P18" s="67">
        <f t="shared" ref="P18:P28" si="8">G18-B18</f>
        <v>0</v>
      </c>
      <c r="Q18" s="68">
        <f t="shared" ref="Q18:Q28" si="9">N18-I18</f>
        <v>-2826.3</v>
      </c>
    </row>
    <row r="19" spans="1:17" ht="33.75" customHeight="1">
      <c r="A19" s="84" t="str">
        <f>'DIA 10'!A19</f>
        <v>ZN</v>
      </c>
      <c r="B19" s="24"/>
      <c r="C19" s="61"/>
      <c r="D19" s="72"/>
      <c r="E19" s="12"/>
      <c r="F19" s="12"/>
      <c r="G19" s="25"/>
      <c r="H19" s="42"/>
      <c r="I19" s="26"/>
      <c r="J19" s="14"/>
      <c r="K19" s="12"/>
      <c r="L19" s="12"/>
      <c r="M19" s="12"/>
      <c r="N19" s="37"/>
      <c r="O19" s="55">
        <f t="shared" si="7"/>
        <v>0</v>
      </c>
      <c r="P19" s="67">
        <f t="shared" si="8"/>
        <v>0</v>
      </c>
      <c r="Q19" s="68">
        <f t="shared" si="9"/>
        <v>0</v>
      </c>
    </row>
    <row r="20" spans="1:17" ht="33.75" customHeight="1">
      <c r="A20" s="84" t="str">
        <f>'DIA 10'!A20</f>
        <v>CBP-001 (BAJO PERFIL)</v>
      </c>
      <c r="B20" s="24"/>
      <c r="C20" s="61"/>
      <c r="D20" s="72"/>
      <c r="E20" s="12"/>
      <c r="F20" s="12"/>
      <c r="G20" s="25"/>
      <c r="H20" s="42"/>
      <c r="I20" s="26"/>
      <c r="J20" s="14"/>
      <c r="K20" s="12"/>
      <c r="L20" s="12"/>
      <c r="M20" s="12"/>
      <c r="N20" s="37"/>
      <c r="O20" s="55">
        <f t="shared" si="7"/>
        <v>0</v>
      </c>
      <c r="P20" s="67">
        <f t="shared" si="8"/>
        <v>0</v>
      </c>
      <c r="Q20" s="68">
        <f t="shared" si="9"/>
        <v>0</v>
      </c>
    </row>
    <row r="21" spans="1:17" ht="33.75" customHeight="1">
      <c r="A21" s="84" t="str">
        <f>'DIA 10'!A21</f>
        <v>MG-105</v>
      </c>
      <c r="B21" s="24">
        <v>5187</v>
      </c>
      <c r="C21" s="61">
        <v>299</v>
      </c>
      <c r="D21" s="72" t="s">
        <v>116</v>
      </c>
      <c r="E21" s="12" t="s">
        <v>117</v>
      </c>
      <c r="F21" s="12" t="s">
        <v>107</v>
      </c>
      <c r="G21" s="25"/>
      <c r="H21" s="42"/>
      <c r="I21" s="26"/>
      <c r="J21" s="14"/>
      <c r="K21" s="12"/>
      <c r="L21" s="12"/>
      <c r="M21" s="12"/>
      <c r="N21" s="37"/>
      <c r="O21" s="55">
        <f t="shared" si="7"/>
        <v>299</v>
      </c>
      <c r="P21" s="67">
        <f t="shared" si="8"/>
        <v>-5187</v>
      </c>
      <c r="Q21" s="68">
        <f t="shared" si="9"/>
        <v>0</v>
      </c>
    </row>
    <row r="22" spans="1:17" ht="33.75" customHeight="1">
      <c r="A22" s="84" t="str">
        <f>'DIA 10'!A22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7"/>
        <v>0</v>
      </c>
      <c r="P22" s="67">
        <f t="shared" si="8"/>
        <v>0</v>
      </c>
      <c r="Q22" s="68">
        <f t="shared" si="9"/>
        <v>0</v>
      </c>
    </row>
    <row r="23" spans="1:17" ht="33.75" customHeight="1">
      <c r="A23" s="84" t="str">
        <f>'DIA 10'!A23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7"/>
        <v>0</v>
      </c>
      <c r="P23" s="67">
        <f t="shared" si="8"/>
        <v>0</v>
      </c>
      <c r="Q23" s="68">
        <f t="shared" si="9"/>
        <v>0</v>
      </c>
    </row>
    <row r="24" spans="1:17" ht="33.75" customHeight="1">
      <c r="A24" s="84" t="str">
        <f>'DIA 10'!A24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7"/>
        <v>0</v>
      </c>
      <c r="P24" s="67">
        <f t="shared" si="8"/>
        <v>0</v>
      </c>
      <c r="Q24" s="68">
        <f t="shared" si="9"/>
        <v>0</v>
      </c>
    </row>
    <row r="25" spans="1:17" ht="33.75" customHeight="1">
      <c r="A25" s="84" t="str">
        <f>'DIA 10'!A25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7"/>
        <v>0</v>
      </c>
      <c r="P25" s="67">
        <f t="shared" si="8"/>
        <v>0</v>
      </c>
      <c r="Q25" s="68">
        <f t="shared" si="9"/>
        <v>0</v>
      </c>
    </row>
    <row r="26" spans="1:17" ht="33.75" customHeight="1">
      <c r="A26" s="84" t="str">
        <f>'DIA 10'!A26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7"/>
        <v>0</v>
      </c>
      <c r="P26" s="67">
        <f t="shared" si="8"/>
        <v>0</v>
      </c>
      <c r="Q26" s="68">
        <f t="shared" si="9"/>
        <v>0</v>
      </c>
    </row>
    <row r="27" spans="1:17" ht="33.75" customHeight="1">
      <c r="A27" s="84" t="str">
        <f>'DIA 10'!A27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37"/>
      <c r="O27" s="55">
        <f t="shared" si="7"/>
        <v>0</v>
      </c>
      <c r="P27" s="67">
        <f t="shared" si="8"/>
        <v>0</v>
      </c>
      <c r="Q27" s="68">
        <f t="shared" si="9"/>
        <v>0</v>
      </c>
    </row>
    <row r="28" spans="1:17" ht="33.75" customHeight="1">
      <c r="A28" s="84" t="str">
        <f>'DIA 10'!A28</f>
        <v>MG-111</v>
      </c>
      <c r="B28" s="24"/>
      <c r="C28" s="62"/>
      <c r="D28" s="57"/>
      <c r="E28" s="13"/>
      <c r="F28" s="12"/>
      <c r="G28" s="28"/>
      <c r="H28" s="42"/>
      <c r="I28" s="26"/>
      <c r="J28" s="15"/>
      <c r="K28" s="13"/>
      <c r="L28" s="13"/>
      <c r="M28" s="13"/>
      <c r="N28" s="37"/>
      <c r="O28" s="55">
        <f t="shared" si="7"/>
        <v>0</v>
      </c>
      <c r="P28" s="67">
        <f t="shared" si="8"/>
        <v>0</v>
      </c>
      <c r="Q28" s="68">
        <f t="shared" si="9"/>
        <v>0</v>
      </c>
    </row>
    <row r="29" spans="1:17" ht="33.75" customHeight="1">
      <c r="A29" s="84" t="str">
        <f>'DIA 10'!A29</f>
        <v>MG-120</v>
      </c>
      <c r="B29" s="24"/>
      <c r="C29" s="62"/>
      <c r="D29" s="57"/>
      <c r="E29" s="13"/>
      <c r="F29" s="12"/>
      <c r="G29" s="28"/>
      <c r="H29" s="42"/>
      <c r="I29" s="26"/>
      <c r="J29" s="15"/>
      <c r="K29" s="13"/>
      <c r="L29" s="13"/>
      <c r="M29" s="13"/>
      <c r="N29" s="37"/>
      <c r="O29" s="55">
        <f t="shared" si="3"/>
        <v>0</v>
      </c>
      <c r="P29" s="67">
        <f t="shared" si="1"/>
        <v>0</v>
      </c>
      <c r="Q29" s="68">
        <f t="shared" si="2"/>
        <v>0</v>
      </c>
    </row>
    <row r="30" spans="1:17" ht="33.75" customHeight="1">
      <c r="A30" s="84" t="str">
        <f>'DIA 10'!A30</f>
        <v>PROSERMIN</v>
      </c>
      <c r="B30" s="24"/>
      <c r="C30" s="62">
        <v>367</v>
      </c>
      <c r="D30" s="57"/>
      <c r="E30" s="13"/>
      <c r="F30" s="12"/>
      <c r="G30" s="28"/>
      <c r="H30" s="42"/>
      <c r="I30" s="26"/>
      <c r="J30" s="15">
        <v>247</v>
      </c>
      <c r="K30" s="13"/>
      <c r="L30" s="13"/>
      <c r="M30" s="13"/>
      <c r="N30" s="37"/>
      <c r="O30" s="55">
        <f t="shared" si="3"/>
        <v>614</v>
      </c>
      <c r="P30" s="67">
        <f t="shared" ref="P30:P33" si="10">G30-B30</f>
        <v>0</v>
      </c>
      <c r="Q30" s="68">
        <f t="shared" ref="Q30:Q33" si="11">N30-I30</f>
        <v>0</v>
      </c>
    </row>
    <row r="31" spans="1:17" ht="33.75" customHeight="1">
      <c r="A31" s="84" t="str">
        <f>'DIA 10'!A31</f>
        <v>ST-060</v>
      </c>
      <c r="B31" s="24"/>
      <c r="C31" s="62"/>
      <c r="D31" s="57"/>
      <c r="E31" s="13"/>
      <c r="F31" s="12"/>
      <c r="G31" s="28"/>
      <c r="H31" s="42"/>
      <c r="I31" s="26"/>
      <c r="J31" s="15"/>
      <c r="K31" s="13"/>
      <c r="L31" s="13"/>
      <c r="M31" s="13"/>
      <c r="N31" s="37"/>
      <c r="O31" s="55">
        <f t="shared" si="3"/>
        <v>0</v>
      </c>
      <c r="P31" s="67">
        <f t="shared" si="10"/>
        <v>0</v>
      </c>
      <c r="Q31" s="68">
        <f t="shared" si="11"/>
        <v>0</v>
      </c>
    </row>
    <row r="32" spans="1:17" ht="33.75" customHeight="1">
      <c r="A32" s="84" t="str">
        <f>'DIA 10'!A32</f>
        <v>ST-53</v>
      </c>
      <c r="B32" s="24"/>
      <c r="C32" s="62"/>
      <c r="D32" s="57"/>
      <c r="E32" s="13"/>
      <c r="F32" s="12"/>
      <c r="G32" s="28"/>
      <c r="H32" s="42"/>
      <c r="I32" s="26"/>
      <c r="J32" s="15"/>
      <c r="K32" s="13"/>
      <c r="L32" s="13"/>
      <c r="M32" s="13"/>
      <c r="N32" s="37"/>
      <c r="O32" s="55">
        <f t="shared" si="3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10'!A33</f>
        <v>ST-039</v>
      </c>
      <c r="B33" s="24">
        <v>9445.5</v>
      </c>
      <c r="C33" s="62">
        <v>248</v>
      </c>
      <c r="D33" s="57" t="s">
        <v>105</v>
      </c>
      <c r="E33" s="13" t="s">
        <v>117</v>
      </c>
      <c r="F33" s="12" t="s">
        <v>107</v>
      </c>
      <c r="G33" s="28"/>
      <c r="H33" s="43"/>
      <c r="I33" s="26">
        <v>9455.5</v>
      </c>
      <c r="J33" s="15">
        <v>237</v>
      </c>
      <c r="K33" s="13" t="s">
        <v>83</v>
      </c>
      <c r="L33" s="13" t="s">
        <v>81</v>
      </c>
      <c r="M33" s="13" t="s">
        <v>82</v>
      </c>
      <c r="N33" s="41"/>
      <c r="O33" s="55">
        <f t="shared" si="3"/>
        <v>485</v>
      </c>
      <c r="P33" s="67">
        <f t="shared" si="10"/>
        <v>-9445.5</v>
      </c>
      <c r="Q33" s="68">
        <f t="shared" si="11"/>
        <v>-9455.5</v>
      </c>
    </row>
    <row r="34" spans="1:21" ht="33.75" customHeight="1" thickBot="1">
      <c r="A34" s="84" t="str">
        <f>'DIA 10'!A34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 t="shared" si="3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1089</v>
      </c>
      <c r="D35" s="10"/>
      <c r="E35" s="11"/>
      <c r="F35" s="11"/>
      <c r="G35" s="11"/>
      <c r="H35" s="11"/>
      <c r="I35" s="11"/>
      <c r="J35" s="59">
        <f>SUM(J7:J34)</f>
        <v>707</v>
      </c>
      <c r="K35" s="50"/>
      <c r="L35" s="50"/>
      <c r="M35" s="49"/>
      <c r="N35" s="49"/>
      <c r="O35" s="85">
        <f>C35+J35</f>
        <v>1796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O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88" priority="1" operator="containsText" text="NO TRABAJO">
      <formula>NOT(ISERROR(SEARCH("NO TRABAJO",O7)))</formula>
    </cfRule>
    <cfRule type="containsText" dxfId="87" priority="2" operator="containsText" text="FUERA DE SERVICIO">
      <formula>NOT(ISERROR(SEARCH("FUERA DE SERVICIO",O7)))</formula>
    </cfRule>
    <cfRule type="containsText" dxfId="86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A915-B292-4DA1-80EC-25B295DCECAB}">
  <sheetPr>
    <pageSetUpPr fitToPage="1"/>
  </sheetPr>
  <dimension ref="A1:U56"/>
  <sheetViews>
    <sheetView showGridLines="0" view="pageBreakPreview" topLeftCell="A16" zoomScale="50" zoomScaleNormal="100" zoomScaleSheetLayoutView="50" workbookViewId="0">
      <selection activeCell="M10" sqref="M10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11'!Q2+O2</f>
        <v>19229</v>
      </c>
      <c r="Q2" s="160">
        <f>P2-O35</f>
        <v>17444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70"/>
      <c r="P4" s="77"/>
      <c r="Q4" s="78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0"/>
      <c r="P5" s="79"/>
      <c r="Q5" s="80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11'!O6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11'!A7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11'!A8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34" si="3">J8+C8</f>
        <v>0</v>
      </c>
      <c r="P8" s="67">
        <f t="shared" si="1"/>
        <v>0</v>
      </c>
      <c r="Q8" s="68">
        <f t="shared" si="2"/>
        <v>0</v>
      </c>
    </row>
    <row r="9" spans="1:17" ht="33.75" customHeight="1">
      <c r="A9" s="84" t="str">
        <f>'DIA 11'!A9</f>
        <v>ST-036 R1300</v>
      </c>
      <c r="B9" s="24">
        <v>9086.7999999999993</v>
      </c>
      <c r="C9" s="61">
        <v>172</v>
      </c>
      <c r="D9" s="72" t="s">
        <v>104</v>
      </c>
      <c r="E9" s="12" t="s">
        <v>106</v>
      </c>
      <c r="F9" s="12" t="s">
        <v>107</v>
      </c>
      <c r="G9" s="27"/>
      <c r="H9" s="42"/>
      <c r="I9" s="26">
        <v>9091.7999999999993</v>
      </c>
      <c r="J9" s="14">
        <v>62</v>
      </c>
      <c r="K9" s="12" t="s">
        <v>82</v>
      </c>
      <c r="L9" s="12" t="s">
        <v>81</v>
      </c>
      <c r="M9" s="12" t="s">
        <v>82</v>
      </c>
      <c r="N9" s="37"/>
      <c r="O9" s="55">
        <f t="shared" si="3"/>
        <v>234</v>
      </c>
      <c r="P9" s="67">
        <f t="shared" si="1"/>
        <v>-9086.7999999999993</v>
      </c>
      <c r="Q9" s="68">
        <f t="shared" si="2"/>
        <v>-9091.7999999999993</v>
      </c>
    </row>
    <row r="10" spans="1:17" ht="33.75" customHeight="1">
      <c r="A10" s="84" t="str">
        <f>'DIA 11'!A10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ref="O10:O15" si="4">J10+C10</f>
        <v>0</v>
      </c>
      <c r="P10" s="67">
        <f t="shared" ref="P10:P15" si="5">G10-B10</f>
        <v>0</v>
      </c>
      <c r="Q10" s="68">
        <f t="shared" ref="Q10:Q15" si="6">N10-I10</f>
        <v>0</v>
      </c>
    </row>
    <row r="11" spans="1:17" ht="33.75" customHeight="1">
      <c r="A11" s="84" t="str">
        <f>'DIA 11'!A11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4"/>
        <v>0</v>
      </c>
      <c r="P11" s="67">
        <f t="shared" si="5"/>
        <v>0</v>
      </c>
      <c r="Q11" s="68">
        <f t="shared" si="6"/>
        <v>0</v>
      </c>
    </row>
    <row r="12" spans="1:17" ht="33.75" customHeight="1">
      <c r="A12" s="84" t="str">
        <f>'DIA 11'!A12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4"/>
        <v>0</v>
      </c>
      <c r="P12" s="67">
        <f t="shared" si="5"/>
        <v>0</v>
      </c>
      <c r="Q12" s="68">
        <f t="shared" si="6"/>
        <v>0</v>
      </c>
    </row>
    <row r="13" spans="1:17" ht="33.75" customHeight="1">
      <c r="A13" s="84" t="str">
        <f>'DIA 11'!A13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4"/>
        <v>0</v>
      </c>
      <c r="P13" s="67">
        <f t="shared" si="5"/>
        <v>0</v>
      </c>
      <c r="Q13" s="68">
        <f t="shared" si="6"/>
        <v>0</v>
      </c>
    </row>
    <row r="14" spans="1:17" ht="33.75" customHeight="1">
      <c r="A14" s="84" t="str">
        <f>'DIA 11'!A14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4"/>
        <v>0</v>
      </c>
      <c r="P14" s="67">
        <f t="shared" si="5"/>
        <v>0</v>
      </c>
      <c r="Q14" s="68">
        <f t="shared" si="6"/>
        <v>0</v>
      </c>
    </row>
    <row r="15" spans="1:17" ht="33.75" customHeight="1">
      <c r="A15" s="84" t="str">
        <f>'DIA 11'!A15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si="4"/>
        <v>0</v>
      </c>
      <c r="P15" s="67">
        <f t="shared" si="5"/>
        <v>0</v>
      </c>
      <c r="Q15" s="68">
        <f t="shared" si="6"/>
        <v>0</v>
      </c>
    </row>
    <row r="16" spans="1:17" ht="33.75" customHeight="1">
      <c r="A16" s="84" t="str">
        <f>'DIA 11'!A16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ref="O16:O31" si="7">J16+C16</f>
        <v>0</v>
      </c>
      <c r="P16" s="67">
        <f t="shared" ref="P16:P31" si="8">G16-B16</f>
        <v>0</v>
      </c>
      <c r="Q16" s="68">
        <f t="shared" ref="Q16:Q31" si="9">N16-I16</f>
        <v>0</v>
      </c>
    </row>
    <row r="17" spans="1:17" ht="33.75" customHeight="1">
      <c r="A17" s="84" t="str">
        <f>'DIA 11'!A17</f>
        <v>RE-009 (RETROEXCAVADORA)</v>
      </c>
      <c r="B17" s="24">
        <v>6413.2</v>
      </c>
      <c r="C17" s="61">
        <v>44</v>
      </c>
      <c r="D17" s="72" t="s">
        <v>108</v>
      </c>
      <c r="E17" s="12" t="s">
        <v>106</v>
      </c>
      <c r="F17" s="12" t="s">
        <v>107</v>
      </c>
      <c r="G17" s="27"/>
      <c r="H17" s="42"/>
      <c r="I17" s="26"/>
      <c r="J17" s="14"/>
      <c r="K17" s="12"/>
      <c r="L17" s="12"/>
      <c r="M17" s="12"/>
      <c r="N17" s="37"/>
      <c r="O17" s="55">
        <f t="shared" si="7"/>
        <v>44</v>
      </c>
      <c r="P17" s="67">
        <f t="shared" si="8"/>
        <v>-6413.2</v>
      </c>
      <c r="Q17" s="68">
        <f t="shared" si="9"/>
        <v>0</v>
      </c>
    </row>
    <row r="18" spans="1:17" ht="33.75" customHeight="1">
      <c r="A18" s="84" t="str">
        <f>'DIA 11'!A18</f>
        <v>RE-010 (RETROEXCAVADORA)</v>
      </c>
      <c r="B18" s="24"/>
      <c r="C18" s="61"/>
      <c r="D18" s="72"/>
      <c r="E18" s="12"/>
      <c r="F18" s="12"/>
      <c r="G18" s="27"/>
      <c r="H18" s="42"/>
      <c r="I18" s="26"/>
      <c r="J18" s="14"/>
      <c r="K18" s="12"/>
      <c r="L18" s="12"/>
      <c r="M18" s="12"/>
      <c r="N18" s="37"/>
      <c r="O18" s="55">
        <f t="shared" si="7"/>
        <v>0</v>
      </c>
      <c r="P18" s="67">
        <f t="shared" si="8"/>
        <v>0</v>
      </c>
      <c r="Q18" s="68">
        <f t="shared" si="9"/>
        <v>0</v>
      </c>
    </row>
    <row r="19" spans="1:17" ht="33.75" customHeight="1">
      <c r="A19" s="84" t="str">
        <f>'DIA 11'!A19</f>
        <v>ZN</v>
      </c>
      <c r="B19" s="24"/>
      <c r="C19" s="61"/>
      <c r="D19" s="72"/>
      <c r="E19" s="12"/>
      <c r="F19" s="12"/>
      <c r="G19" s="27"/>
      <c r="H19" s="42"/>
      <c r="I19" s="26"/>
      <c r="J19" s="14"/>
      <c r="K19" s="12"/>
      <c r="L19" s="12"/>
      <c r="M19" s="12"/>
      <c r="N19" s="37"/>
      <c r="O19" s="55">
        <f t="shared" si="7"/>
        <v>0</v>
      </c>
      <c r="P19" s="67">
        <f t="shared" si="8"/>
        <v>0</v>
      </c>
      <c r="Q19" s="68">
        <f t="shared" si="9"/>
        <v>0</v>
      </c>
    </row>
    <row r="20" spans="1:17" ht="33.75" customHeight="1">
      <c r="A20" s="84" t="str">
        <f>'DIA 11'!A20</f>
        <v>CBP-001 (BAJO PERFIL)</v>
      </c>
      <c r="B20" s="24"/>
      <c r="C20" s="61"/>
      <c r="D20" s="72"/>
      <c r="E20" s="12"/>
      <c r="F20" s="12"/>
      <c r="G20" s="27"/>
      <c r="H20" s="42"/>
      <c r="I20" s="26"/>
      <c r="J20" s="14"/>
      <c r="K20" s="12"/>
      <c r="L20" s="12"/>
      <c r="M20" s="12"/>
      <c r="N20" s="37"/>
      <c r="O20" s="55">
        <f t="shared" si="7"/>
        <v>0</v>
      </c>
      <c r="P20" s="67">
        <f t="shared" si="8"/>
        <v>0</v>
      </c>
      <c r="Q20" s="68">
        <f t="shared" si="9"/>
        <v>0</v>
      </c>
    </row>
    <row r="21" spans="1:17" ht="33.75" customHeight="1">
      <c r="A21" s="84" t="str">
        <f>'DIA 11'!A21</f>
        <v>MG-105</v>
      </c>
      <c r="B21" s="24"/>
      <c r="C21" s="61"/>
      <c r="D21" s="72"/>
      <c r="E21" s="12"/>
      <c r="F21" s="12"/>
      <c r="G21" s="27"/>
      <c r="H21" s="42"/>
      <c r="I21" s="26"/>
      <c r="J21" s="14"/>
      <c r="K21" s="12"/>
      <c r="L21" s="12"/>
      <c r="M21" s="12"/>
      <c r="N21" s="37"/>
      <c r="O21" s="55">
        <f t="shared" si="7"/>
        <v>0</v>
      </c>
      <c r="P21" s="67">
        <f t="shared" si="8"/>
        <v>0</v>
      </c>
      <c r="Q21" s="68">
        <f t="shared" si="9"/>
        <v>0</v>
      </c>
    </row>
    <row r="22" spans="1:17" ht="33.75" customHeight="1">
      <c r="A22" s="84" t="str">
        <f>'DIA 11'!A22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7"/>
        <v>0</v>
      </c>
      <c r="P22" s="67">
        <f t="shared" si="8"/>
        <v>0</v>
      </c>
      <c r="Q22" s="68">
        <f t="shared" si="9"/>
        <v>0</v>
      </c>
    </row>
    <row r="23" spans="1:17" ht="33.75" customHeight="1">
      <c r="A23" s="84" t="str">
        <f>'DIA 11'!A23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7"/>
        <v>0</v>
      </c>
      <c r="P23" s="67">
        <f t="shared" si="8"/>
        <v>0</v>
      </c>
      <c r="Q23" s="68">
        <f t="shared" si="9"/>
        <v>0</v>
      </c>
    </row>
    <row r="24" spans="1:17" ht="33.75" customHeight="1">
      <c r="A24" s="84" t="str">
        <f>'DIA 11'!A24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7"/>
        <v>0</v>
      </c>
      <c r="P24" s="67">
        <f t="shared" si="8"/>
        <v>0</v>
      </c>
      <c r="Q24" s="68">
        <f t="shared" si="9"/>
        <v>0</v>
      </c>
    </row>
    <row r="25" spans="1:17" ht="33.75" customHeight="1">
      <c r="A25" s="84" t="str">
        <f>'DIA 11'!A25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7"/>
        <v>0</v>
      </c>
      <c r="P25" s="67">
        <f t="shared" si="8"/>
        <v>0</v>
      </c>
      <c r="Q25" s="68">
        <f t="shared" si="9"/>
        <v>0</v>
      </c>
    </row>
    <row r="26" spans="1:17" ht="33.75" customHeight="1">
      <c r="A26" s="84" t="str">
        <f>'DIA 11'!A26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7"/>
        <v>0</v>
      </c>
      <c r="P26" s="67">
        <f t="shared" si="8"/>
        <v>0</v>
      </c>
      <c r="Q26" s="68">
        <f t="shared" si="9"/>
        <v>0</v>
      </c>
    </row>
    <row r="27" spans="1:17" ht="33.75" customHeight="1">
      <c r="A27" s="84" t="str">
        <f>'DIA 11'!A27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41"/>
      <c r="O27" s="55">
        <f t="shared" si="7"/>
        <v>0</v>
      </c>
      <c r="P27" s="67">
        <f t="shared" si="8"/>
        <v>0</v>
      </c>
      <c r="Q27" s="68">
        <f t="shared" si="9"/>
        <v>0</v>
      </c>
    </row>
    <row r="28" spans="1:17" ht="33.75" customHeight="1">
      <c r="A28" s="84" t="str">
        <f>'DIA 11'!A28</f>
        <v>MG-111</v>
      </c>
      <c r="B28" s="24"/>
      <c r="C28" s="62"/>
      <c r="D28" s="57"/>
      <c r="E28" s="13"/>
      <c r="F28" s="12"/>
      <c r="G28" s="28"/>
      <c r="H28" s="42"/>
      <c r="I28" s="26"/>
      <c r="J28" s="15"/>
      <c r="K28" s="13"/>
      <c r="L28" s="13"/>
      <c r="M28" s="13"/>
      <c r="N28" s="37"/>
      <c r="O28" s="55">
        <f t="shared" si="7"/>
        <v>0</v>
      </c>
      <c r="P28" s="67">
        <f t="shared" si="8"/>
        <v>0</v>
      </c>
      <c r="Q28" s="68">
        <f t="shared" si="9"/>
        <v>0</v>
      </c>
    </row>
    <row r="29" spans="1:17" ht="33.75" customHeight="1">
      <c r="A29" s="84" t="str">
        <f>'DIA 11'!A29</f>
        <v>MG-120</v>
      </c>
      <c r="B29" s="24"/>
      <c r="C29" s="62"/>
      <c r="D29" s="57"/>
      <c r="E29" s="13"/>
      <c r="F29" s="12"/>
      <c r="G29" s="28"/>
      <c r="H29" s="42"/>
      <c r="I29" s="26"/>
      <c r="J29" s="15"/>
      <c r="K29" s="13"/>
      <c r="L29" s="13"/>
      <c r="M29" s="13"/>
      <c r="N29" s="37"/>
      <c r="O29" s="55">
        <f t="shared" si="7"/>
        <v>0</v>
      </c>
      <c r="P29" s="67">
        <f t="shared" si="8"/>
        <v>0</v>
      </c>
      <c r="Q29" s="68">
        <f t="shared" si="9"/>
        <v>0</v>
      </c>
    </row>
    <row r="30" spans="1:17" ht="33.75" customHeight="1">
      <c r="A30" s="84" t="str">
        <f>'DIA 11'!A30</f>
        <v>PROSERMIN</v>
      </c>
      <c r="B30" s="24"/>
      <c r="C30" s="62">
        <v>499</v>
      </c>
      <c r="D30" s="57"/>
      <c r="E30" s="13"/>
      <c r="F30" s="12"/>
      <c r="G30" s="28"/>
      <c r="H30" s="42"/>
      <c r="I30" s="26"/>
      <c r="J30" s="15">
        <v>335</v>
      </c>
      <c r="K30" s="13"/>
      <c r="L30" s="13"/>
      <c r="M30" s="13"/>
      <c r="N30" s="37"/>
      <c r="O30" s="55">
        <f t="shared" si="7"/>
        <v>834</v>
      </c>
      <c r="P30" s="67">
        <f t="shared" si="8"/>
        <v>0</v>
      </c>
      <c r="Q30" s="68">
        <f t="shared" si="9"/>
        <v>0</v>
      </c>
    </row>
    <row r="31" spans="1:17" ht="33.75" customHeight="1">
      <c r="A31" s="84" t="str">
        <f>'DIA 11'!A31</f>
        <v>ST-060</v>
      </c>
      <c r="B31" s="24"/>
      <c r="C31" s="60"/>
      <c r="D31" s="71"/>
      <c r="E31" s="17"/>
      <c r="F31" s="12"/>
      <c r="G31" s="25"/>
      <c r="H31" s="42"/>
      <c r="I31" s="26"/>
      <c r="J31" s="15"/>
      <c r="K31" s="13"/>
      <c r="L31" s="13"/>
      <c r="M31" s="13"/>
      <c r="N31" s="41"/>
      <c r="O31" s="55">
        <f t="shared" si="7"/>
        <v>0</v>
      </c>
      <c r="P31" s="67">
        <f t="shared" si="8"/>
        <v>0</v>
      </c>
      <c r="Q31" s="68">
        <f t="shared" si="9"/>
        <v>0</v>
      </c>
    </row>
    <row r="32" spans="1:17" ht="33.75" customHeight="1">
      <c r="A32" s="84" t="str">
        <f>'DIA 11'!A32</f>
        <v>ST-53</v>
      </c>
      <c r="B32" s="24"/>
      <c r="C32" s="62"/>
      <c r="D32" s="57"/>
      <c r="E32" s="13"/>
      <c r="F32" s="12"/>
      <c r="G32" s="28"/>
      <c r="H32" s="42"/>
      <c r="I32" s="26"/>
      <c r="J32" s="15"/>
      <c r="K32" s="13"/>
      <c r="L32" s="13"/>
      <c r="M32" s="13"/>
      <c r="N32" s="38"/>
      <c r="O32" s="55">
        <f t="shared" si="3"/>
        <v>0</v>
      </c>
      <c r="P32" s="67">
        <f t="shared" ref="P32" si="10">G32-B32</f>
        <v>0</v>
      </c>
      <c r="Q32" s="68">
        <f t="shared" ref="Q32" si="11">N32-I32</f>
        <v>0</v>
      </c>
    </row>
    <row r="33" spans="1:21" ht="33.75" customHeight="1">
      <c r="A33" s="84" t="str">
        <f>'DIA 11'!A33</f>
        <v>ST-039</v>
      </c>
      <c r="B33" s="30">
        <v>9464.1</v>
      </c>
      <c r="C33" s="64">
        <v>228</v>
      </c>
      <c r="D33" s="150" t="s">
        <v>121</v>
      </c>
      <c r="E33" s="19" t="s">
        <v>106</v>
      </c>
      <c r="F33" s="12" t="s">
        <v>107</v>
      </c>
      <c r="G33" s="31"/>
      <c r="H33" s="43"/>
      <c r="I33" s="26">
        <v>9473.4</v>
      </c>
      <c r="J33" s="18">
        <v>445</v>
      </c>
      <c r="K33" s="19" t="s">
        <v>83</v>
      </c>
      <c r="L33" s="19" t="s">
        <v>81</v>
      </c>
      <c r="M33" s="19" t="s">
        <v>82</v>
      </c>
      <c r="N33" s="41"/>
      <c r="O33" s="55">
        <f t="shared" si="3"/>
        <v>673</v>
      </c>
      <c r="P33" s="67">
        <f t="shared" si="1"/>
        <v>-9464.1</v>
      </c>
      <c r="Q33" s="68">
        <f t="shared" si="2"/>
        <v>-9473.4</v>
      </c>
    </row>
    <row r="34" spans="1:21" ht="33.75" customHeight="1" thickBot="1">
      <c r="A34" s="84" t="str">
        <f>'DIA 11'!A34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 t="shared" si="3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943</v>
      </c>
      <c r="D35" s="10"/>
      <c r="E35" s="11"/>
      <c r="F35" s="11"/>
      <c r="G35" s="11"/>
      <c r="H35" s="11"/>
      <c r="I35" s="11"/>
      <c r="J35" s="59">
        <f>SUM(J7:J34)</f>
        <v>842</v>
      </c>
      <c r="K35" s="50"/>
      <c r="L35" s="50"/>
      <c r="M35" s="49"/>
      <c r="N35" s="49"/>
      <c r="O35" s="85">
        <f>C35+J35</f>
        <v>1785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O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85" priority="1" operator="containsText" text="NO TRABAJO">
      <formula>NOT(ISERROR(SEARCH("NO TRABAJO",O7)))</formula>
    </cfRule>
    <cfRule type="containsText" dxfId="84" priority="2" operator="containsText" text="FUERA DE SERVICIO">
      <formula>NOT(ISERROR(SEARCH("FUERA DE SERVICIO",O7)))</formula>
    </cfRule>
    <cfRule type="containsText" dxfId="83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8DE5-8C19-4C48-B4FA-539D7338F22C}">
  <sheetPr>
    <pageSetUpPr fitToPage="1"/>
  </sheetPr>
  <dimension ref="A1:U56"/>
  <sheetViews>
    <sheetView showGridLines="0" view="pageBreakPreview" topLeftCell="A16" zoomScale="50" zoomScaleNormal="100" zoomScaleSheetLayoutView="50" workbookViewId="0">
      <selection activeCell="M26" sqref="M26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12'!Q2+O2</f>
        <v>17444</v>
      </c>
      <c r="Q2" s="160">
        <f>P2-O35</f>
        <v>11828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70"/>
      <c r="P4" s="77"/>
      <c r="Q4" s="78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0"/>
      <c r="P5" s="79"/>
      <c r="Q5" s="80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12'!O6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12'!A7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9" si="1">G7-B7</f>
        <v>0</v>
      </c>
      <c r="Q7" s="68">
        <f t="shared" ref="Q7:Q9" si="2">N7-I7</f>
        <v>0</v>
      </c>
    </row>
    <row r="8" spans="1:17" ht="33.75" customHeight="1">
      <c r="A8" s="84" t="str">
        <f>'DIA 12'!A8</f>
        <v>ST-025 (1600)</v>
      </c>
      <c r="B8" s="24">
        <v>9098</v>
      </c>
      <c r="C8" s="61">
        <v>105</v>
      </c>
      <c r="D8" s="72" t="s">
        <v>104</v>
      </c>
      <c r="E8" s="12" t="s">
        <v>106</v>
      </c>
      <c r="F8" s="12" t="s">
        <v>107</v>
      </c>
      <c r="G8" s="27"/>
      <c r="H8" s="42"/>
      <c r="I8" s="26">
        <v>9106.6</v>
      </c>
      <c r="J8" s="14">
        <v>124</v>
      </c>
      <c r="K8" s="12" t="s">
        <v>82</v>
      </c>
      <c r="L8" s="12" t="s">
        <v>81</v>
      </c>
      <c r="M8" s="12" t="s">
        <v>82</v>
      </c>
      <c r="N8" s="37"/>
      <c r="O8" s="55">
        <f t="shared" ref="O8:O9" si="3">J8+C8</f>
        <v>229</v>
      </c>
      <c r="P8" s="67">
        <f t="shared" si="1"/>
        <v>-9098</v>
      </c>
      <c r="Q8" s="68">
        <f t="shared" si="2"/>
        <v>-9106.6</v>
      </c>
    </row>
    <row r="9" spans="1:17" ht="33.75" customHeight="1">
      <c r="A9" s="84" t="str">
        <f>'DIA 12'!A9</f>
        <v>ST-036 R1300</v>
      </c>
      <c r="B9" s="24"/>
      <c r="C9" s="61"/>
      <c r="D9" s="72"/>
      <c r="E9" s="12"/>
      <c r="F9" s="12"/>
      <c r="G9" s="27"/>
      <c r="H9" s="42"/>
      <c r="I9" s="26"/>
      <c r="J9" s="14"/>
      <c r="K9" s="12"/>
      <c r="L9" s="12"/>
      <c r="M9" s="12"/>
      <c r="N9" s="37"/>
      <c r="O9" s="55">
        <f t="shared" si="3"/>
        <v>0</v>
      </c>
      <c r="P9" s="67">
        <f t="shared" si="1"/>
        <v>0</v>
      </c>
      <c r="Q9" s="68">
        <f t="shared" si="2"/>
        <v>0</v>
      </c>
    </row>
    <row r="10" spans="1:17" ht="33.75" customHeight="1">
      <c r="A10" s="84" t="str">
        <f>'DIA 12'!A10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ref="O10:O22" si="4">J10+C10</f>
        <v>0</v>
      </c>
      <c r="P10" s="67">
        <f t="shared" ref="P10:P22" si="5">G10-B10</f>
        <v>0</v>
      </c>
      <c r="Q10" s="68">
        <f t="shared" ref="Q10:Q22" si="6">N10-I10</f>
        <v>0</v>
      </c>
    </row>
    <row r="11" spans="1:17" ht="33.75" customHeight="1">
      <c r="A11" s="84" t="str">
        <f>'DIA 12'!A11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4"/>
        <v>0</v>
      </c>
      <c r="P11" s="67">
        <f t="shared" si="5"/>
        <v>0</v>
      </c>
      <c r="Q11" s="68">
        <f t="shared" si="6"/>
        <v>0</v>
      </c>
    </row>
    <row r="12" spans="1:17" ht="33.75" customHeight="1">
      <c r="A12" s="84" t="str">
        <f>'DIA 12'!A12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>
        <v>56</v>
      </c>
      <c r="K12" s="12" t="s">
        <v>84</v>
      </c>
      <c r="L12" s="12" t="s">
        <v>81</v>
      </c>
      <c r="M12" s="12" t="s">
        <v>82</v>
      </c>
      <c r="N12" s="37"/>
      <c r="O12" s="55">
        <f t="shared" si="4"/>
        <v>56</v>
      </c>
      <c r="P12" s="67">
        <f t="shared" si="5"/>
        <v>0</v>
      </c>
      <c r="Q12" s="68">
        <f t="shared" si="6"/>
        <v>0</v>
      </c>
    </row>
    <row r="13" spans="1:17" ht="33.75" customHeight="1">
      <c r="A13" s="84" t="str">
        <f>'DIA 12'!A13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4"/>
        <v>0</v>
      </c>
      <c r="P13" s="67">
        <f t="shared" si="5"/>
        <v>0</v>
      </c>
      <c r="Q13" s="68">
        <f t="shared" si="6"/>
        <v>0</v>
      </c>
    </row>
    <row r="14" spans="1:17" ht="33.75" customHeight="1">
      <c r="A14" s="84" t="str">
        <f>'DIA 12'!A14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4"/>
        <v>0</v>
      </c>
      <c r="P14" s="67">
        <f t="shared" si="5"/>
        <v>0</v>
      </c>
      <c r="Q14" s="68">
        <f t="shared" si="6"/>
        <v>0</v>
      </c>
    </row>
    <row r="15" spans="1:17" ht="33.75" customHeight="1">
      <c r="A15" s="84" t="str">
        <f>'DIA 12'!A15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si="4"/>
        <v>0</v>
      </c>
      <c r="P15" s="67">
        <f t="shared" si="5"/>
        <v>0</v>
      </c>
      <c r="Q15" s="68">
        <f t="shared" si="6"/>
        <v>0</v>
      </c>
    </row>
    <row r="16" spans="1:17" ht="33.75" customHeight="1">
      <c r="A16" s="84" t="str">
        <f>'DIA 12'!A16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4"/>
        <v>0</v>
      </c>
      <c r="P16" s="67">
        <f t="shared" si="5"/>
        <v>0</v>
      </c>
      <c r="Q16" s="68">
        <f t="shared" si="6"/>
        <v>0</v>
      </c>
    </row>
    <row r="17" spans="1:17" ht="33.75" customHeight="1">
      <c r="A17" s="84" t="str">
        <f>'DIA 12'!A17</f>
        <v>RE-009 (RETROEXCAVADORA)</v>
      </c>
      <c r="B17" s="24">
        <v>6227.2</v>
      </c>
      <c r="C17" s="61">
        <v>43</v>
      </c>
      <c r="D17" s="72" t="s">
        <v>122</v>
      </c>
      <c r="E17" s="12" t="s">
        <v>117</v>
      </c>
      <c r="F17" s="12" t="s">
        <v>111</v>
      </c>
      <c r="G17" s="27"/>
      <c r="H17" s="42"/>
      <c r="I17" s="26"/>
      <c r="J17" s="14"/>
      <c r="K17" s="12"/>
      <c r="L17" s="12"/>
      <c r="M17" s="12"/>
      <c r="N17" s="37"/>
      <c r="O17" s="55">
        <f t="shared" si="4"/>
        <v>43</v>
      </c>
      <c r="P17" s="67">
        <f t="shared" si="5"/>
        <v>-6227.2</v>
      </c>
      <c r="Q17" s="68">
        <f t="shared" si="6"/>
        <v>0</v>
      </c>
    </row>
    <row r="18" spans="1:17" ht="33.75" customHeight="1">
      <c r="A18" s="84" t="str">
        <f>'DIA 12'!A18</f>
        <v>RE-010 (RETROEXCAVADORA)</v>
      </c>
      <c r="B18" s="24"/>
      <c r="C18" s="61"/>
      <c r="D18" s="72"/>
      <c r="E18" s="12"/>
      <c r="F18" s="12"/>
      <c r="G18" s="27"/>
      <c r="H18" s="42"/>
      <c r="I18" s="26">
        <v>2852.5</v>
      </c>
      <c r="J18" s="14">
        <v>95</v>
      </c>
      <c r="K18" s="12" t="s">
        <v>92</v>
      </c>
      <c r="L18" s="12" t="s">
        <v>81</v>
      </c>
      <c r="M18" s="12" t="s">
        <v>82</v>
      </c>
      <c r="N18" s="37"/>
      <c r="O18" s="55">
        <f t="shared" si="4"/>
        <v>95</v>
      </c>
      <c r="P18" s="67">
        <f t="shared" si="5"/>
        <v>0</v>
      </c>
      <c r="Q18" s="68">
        <f t="shared" si="6"/>
        <v>-2852.5</v>
      </c>
    </row>
    <row r="19" spans="1:17" ht="33.75" customHeight="1">
      <c r="A19" s="84" t="str">
        <f>'DIA 12'!A19</f>
        <v>ZN</v>
      </c>
      <c r="B19" s="24"/>
      <c r="C19" s="61">
        <v>4002</v>
      </c>
      <c r="D19" s="72" t="s">
        <v>88</v>
      </c>
      <c r="E19" s="12" t="s">
        <v>106</v>
      </c>
      <c r="F19" s="12" t="s">
        <v>107</v>
      </c>
      <c r="G19" s="27"/>
      <c r="H19" s="42"/>
      <c r="I19" s="26"/>
      <c r="J19" s="14"/>
      <c r="K19" s="12"/>
      <c r="L19" s="12"/>
      <c r="M19" s="12"/>
      <c r="N19" s="37"/>
      <c r="O19" s="55">
        <f t="shared" si="4"/>
        <v>4002</v>
      </c>
      <c r="P19" s="67">
        <f t="shared" si="5"/>
        <v>0</v>
      </c>
      <c r="Q19" s="68">
        <f t="shared" si="6"/>
        <v>0</v>
      </c>
    </row>
    <row r="20" spans="1:17" ht="33.75" customHeight="1">
      <c r="A20" s="84" t="str">
        <f>'DIA 12'!A20</f>
        <v>CBP-001 (BAJO PERFIL)</v>
      </c>
      <c r="B20" s="24"/>
      <c r="C20" s="61"/>
      <c r="D20" s="72"/>
      <c r="E20" s="12"/>
      <c r="F20" s="12"/>
      <c r="G20" s="27"/>
      <c r="H20" s="42"/>
      <c r="I20" s="26"/>
      <c r="J20" s="14"/>
      <c r="K20" s="12"/>
      <c r="L20" s="12"/>
      <c r="M20" s="12"/>
      <c r="N20" s="37"/>
      <c r="O20" s="55">
        <f t="shared" si="4"/>
        <v>0</v>
      </c>
      <c r="P20" s="67">
        <f t="shared" si="5"/>
        <v>0</v>
      </c>
      <c r="Q20" s="68">
        <f t="shared" si="6"/>
        <v>0</v>
      </c>
    </row>
    <row r="21" spans="1:17" ht="33.75" customHeight="1">
      <c r="A21" s="84" t="str">
        <f>'DIA 12'!A21</f>
        <v>MG-105</v>
      </c>
      <c r="B21" s="24"/>
      <c r="C21" s="61"/>
      <c r="D21" s="72"/>
      <c r="E21" s="12"/>
      <c r="F21" s="12"/>
      <c r="G21" s="27"/>
      <c r="H21" s="42"/>
      <c r="I21" s="26"/>
      <c r="J21" s="14"/>
      <c r="K21" s="12"/>
      <c r="L21" s="12"/>
      <c r="M21" s="12"/>
      <c r="N21" s="37"/>
      <c r="O21" s="55">
        <f t="shared" si="4"/>
        <v>0</v>
      </c>
      <c r="P21" s="67">
        <f t="shared" si="5"/>
        <v>0</v>
      </c>
      <c r="Q21" s="68">
        <f t="shared" si="6"/>
        <v>0</v>
      </c>
    </row>
    <row r="22" spans="1:17" ht="33.75" customHeight="1">
      <c r="A22" s="84" t="str">
        <f>'DIA 12'!A22</f>
        <v>MG-044</v>
      </c>
      <c r="B22" s="24">
        <v>13224</v>
      </c>
      <c r="C22" s="61">
        <v>239</v>
      </c>
      <c r="D22" s="72" t="s">
        <v>116</v>
      </c>
      <c r="E22" s="12" t="s">
        <v>106</v>
      </c>
      <c r="F22" s="12" t="s">
        <v>107</v>
      </c>
      <c r="G22" s="25"/>
      <c r="H22" s="42"/>
      <c r="I22" s="26"/>
      <c r="J22" s="14"/>
      <c r="K22" s="12"/>
      <c r="L22" s="12"/>
      <c r="M22" s="12"/>
      <c r="N22" s="37"/>
      <c r="O22" s="55">
        <f t="shared" si="4"/>
        <v>239</v>
      </c>
      <c r="P22" s="67">
        <f t="shared" si="5"/>
        <v>-13224</v>
      </c>
      <c r="Q22" s="68">
        <f t="shared" si="6"/>
        <v>0</v>
      </c>
    </row>
    <row r="23" spans="1:17" ht="33.75" customHeight="1">
      <c r="A23" s="84" t="str">
        <f>'DIA 12'!A23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ref="O23:O34" si="7">J23+C23</f>
        <v>0</v>
      </c>
      <c r="P23" s="67">
        <f t="shared" ref="P23:P34" si="8">G23-B23</f>
        <v>0</v>
      </c>
      <c r="Q23" s="68">
        <f t="shared" ref="Q23:Q34" si="9">N23-I23</f>
        <v>0</v>
      </c>
    </row>
    <row r="24" spans="1:17" ht="33.75" customHeight="1">
      <c r="A24" s="84" t="str">
        <f>'DIA 12'!A24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7"/>
        <v>0</v>
      </c>
      <c r="P24" s="67">
        <f t="shared" si="8"/>
        <v>0</v>
      </c>
      <c r="Q24" s="68">
        <f t="shared" si="9"/>
        <v>0</v>
      </c>
    </row>
    <row r="25" spans="1:17" ht="33.75" customHeight="1">
      <c r="A25" s="84" t="str">
        <f>'DIA 12'!A25</f>
        <v>MG-113</v>
      </c>
      <c r="B25" s="24">
        <v>24060</v>
      </c>
      <c r="C25" s="60">
        <v>71</v>
      </c>
      <c r="D25" s="71" t="s">
        <v>124</v>
      </c>
      <c r="E25" s="12" t="s">
        <v>106</v>
      </c>
      <c r="F25" s="12" t="s">
        <v>107</v>
      </c>
      <c r="G25" s="25"/>
      <c r="H25" s="42"/>
      <c r="I25" s="26"/>
      <c r="J25" s="16"/>
      <c r="K25" s="12"/>
      <c r="L25" s="12"/>
      <c r="M25" s="12"/>
      <c r="N25" s="37"/>
      <c r="O25" s="55">
        <f t="shared" si="7"/>
        <v>71</v>
      </c>
      <c r="P25" s="67">
        <f t="shared" si="8"/>
        <v>-24060</v>
      </c>
      <c r="Q25" s="68">
        <f t="shared" si="9"/>
        <v>0</v>
      </c>
    </row>
    <row r="26" spans="1:17" ht="33.75" customHeight="1">
      <c r="A26" s="84" t="str">
        <f>'DIA 12'!A26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7"/>
        <v>0</v>
      </c>
      <c r="P26" s="67">
        <f t="shared" si="8"/>
        <v>0</v>
      </c>
      <c r="Q26" s="68">
        <f t="shared" si="9"/>
        <v>0</v>
      </c>
    </row>
    <row r="27" spans="1:17" ht="33.75" customHeight="1">
      <c r="A27" s="84" t="str">
        <f>'DIA 12'!A27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41"/>
      <c r="O27" s="55">
        <f t="shared" si="7"/>
        <v>0</v>
      </c>
      <c r="P27" s="67">
        <f t="shared" si="8"/>
        <v>0</v>
      </c>
      <c r="Q27" s="68">
        <f t="shared" si="9"/>
        <v>0</v>
      </c>
    </row>
    <row r="28" spans="1:17" ht="33.75" customHeight="1">
      <c r="A28" s="84" t="str">
        <f>'DIA 12'!A28</f>
        <v>MG-111</v>
      </c>
      <c r="B28" s="24"/>
      <c r="C28" s="62"/>
      <c r="D28" s="57"/>
      <c r="E28" s="13"/>
      <c r="F28" s="12"/>
      <c r="G28" s="28"/>
      <c r="H28" s="42"/>
      <c r="I28" s="26"/>
      <c r="J28" s="15"/>
      <c r="K28" s="13"/>
      <c r="L28" s="13"/>
      <c r="M28" s="13"/>
      <c r="N28" s="38"/>
      <c r="O28" s="55">
        <f t="shared" si="7"/>
        <v>0</v>
      </c>
      <c r="P28" s="67">
        <f t="shared" si="8"/>
        <v>0</v>
      </c>
      <c r="Q28" s="68">
        <f t="shared" si="9"/>
        <v>0</v>
      </c>
    </row>
    <row r="29" spans="1:17" ht="33.75" customHeight="1">
      <c r="A29" s="84" t="str">
        <f>'DIA 12'!A29</f>
        <v>MG-120</v>
      </c>
      <c r="B29" s="24"/>
      <c r="C29" s="61"/>
      <c r="D29" s="72"/>
      <c r="E29" s="12"/>
      <c r="F29" s="12"/>
      <c r="G29" s="27"/>
      <c r="H29" s="42"/>
      <c r="I29" s="26"/>
      <c r="J29" s="15"/>
      <c r="K29" s="13"/>
      <c r="L29" s="13"/>
      <c r="M29" s="13"/>
      <c r="N29" s="37"/>
      <c r="O29" s="55">
        <f t="shared" si="7"/>
        <v>0</v>
      </c>
      <c r="P29" s="67">
        <f t="shared" si="8"/>
        <v>0</v>
      </c>
      <c r="Q29" s="68">
        <f t="shared" si="9"/>
        <v>0</v>
      </c>
    </row>
    <row r="30" spans="1:17" ht="33.75" customHeight="1">
      <c r="A30" s="84" t="str">
        <f>'DIA 12'!A30</f>
        <v>PROSERMIN</v>
      </c>
      <c r="B30" s="24"/>
      <c r="C30" s="60">
        <v>286</v>
      </c>
      <c r="D30" s="71"/>
      <c r="E30" s="17"/>
      <c r="F30" s="12"/>
      <c r="G30" s="25"/>
      <c r="H30" s="42"/>
      <c r="I30" s="26"/>
      <c r="J30" s="16">
        <v>182</v>
      </c>
      <c r="K30" s="12"/>
      <c r="L30" s="12"/>
      <c r="M30" s="12"/>
      <c r="N30" s="37"/>
      <c r="O30" s="55">
        <f t="shared" si="7"/>
        <v>468</v>
      </c>
      <c r="P30" s="67">
        <f t="shared" si="8"/>
        <v>0</v>
      </c>
      <c r="Q30" s="68">
        <f t="shared" si="9"/>
        <v>0</v>
      </c>
    </row>
    <row r="31" spans="1:17" ht="33.75" customHeight="1">
      <c r="A31" s="84" t="str">
        <f>'DIA 12'!A31</f>
        <v>ST-060</v>
      </c>
      <c r="B31" s="24"/>
      <c r="C31" s="62"/>
      <c r="D31" s="57"/>
      <c r="E31" s="13"/>
      <c r="F31" s="12"/>
      <c r="G31" s="28"/>
      <c r="H31" s="42"/>
      <c r="I31" s="26"/>
      <c r="J31" s="16"/>
      <c r="K31" s="12"/>
      <c r="L31" s="12"/>
      <c r="M31" s="12"/>
      <c r="N31" s="37"/>
      <c r="O31" s="55">
        <f t="shared" si="7"/>
        <v>0</v>
      </c>
      <c r="P31" s="67">
        <f t="shared" si="8"/>
        <v>0</v>
      </c>
      <c r="Q31" s="68">
        <f t="shared" si="9"/>
        <v>0</v>
      </c>
    </row>
    <row r="32" spans="1:17" ht="33.75" customHeight="1">
      <c r="A32" s="84" t="str">
        <f>'DIA 12'!A32</f>
        <v>ST-53</v>
      </c>
      <c r="B32" s="24"/>
      <c r="C32" s="61"/>
      <c r="D32" s="72"/>
      <c r="E32" s="12"/>
      <c r="F32" s="12"/>
      <c r="G32" s="27"/>
      <c r="H32" s="42"/>
      <c r="I32" s="26"/>
      <c r="J32" s="16"/>
      <c r="K32" s="12"/>
      <c r="L32" s="12"/>
      <c r="M32" s="12"/>
      <c r="N32" s="37"/>
      <c r="O32" s="55">
        <f t="shared" si="7"/>
        <v>0</v>
      </c>
      <c r="P32" s="67">
        <f t="shared" si="8"/>
        <v>0</v>
      </c>
      <c r="Q32" s="68">
        <f t="shared" si="9"/>
        <v>0</v>
      </c>
    </row>
    <row r="33" spans="1:21" ht="33.75" customHeight="1">
      <c r="A33" s="84" t="str">
        <f>'DIA 12'!A33</f>
        <v>ST-039</v>
      </c>
      <c r="B33" s="24">
        <v>9489.6</v>
      </c>
      <c r="C33" s="60">
        <v>204</v>
      </c>
      <c r="D33" s="71" t="s">
        <v>105</v>
      </c>
      <c r="E33" s="17" t="s">
        <v>106</v>
      </c>
      <c r="F33" s="12" t="s">
        <v>107</v>
      </c>
      <c r="G33" s="25"/>
      <c r="H33" s="43"/>
      <c r="I33" s="26">
        <v>9498.2999999999993</v>
      </c>
      <c r="J33" s="16">
        <v>209</v>
      </c>
      <c r="K33" s="17" t="s">
        <v>83</v>
      </c>
      <c r="L33" s="17" t="s">
        <v>81</v>
      </c>
      <c r="M33" s="17" t="s">
        <v>82</v>
      </c>
      <c r="N33" s="37"/>
      <c r="O33" s="55">
        <f t="shared" si="7"/>
        <v>413</v>
      </c>
      <c r="P33" s="67">
        <f t="shared" si="8"/>
        <v>-9489.6</v>
      </c>
      <c r="Q33" s="68">
        <f t="shared" si="9"/>
        <v>-9498.2999999999993</v>
      </c>
    </row>
    <row r="34" spans="1:21" ht="33.75" customHeight="1" thickBot="1">
      <c r="A34" s="84" t="str">
        <f>'DIA 12'!A34</f>
        <v>JL-025</v>
      </c>
      <c r="B34" s="24"/>
      <c r="C34" s="62"/>
      <c r="D34" s="57"/>
      <c r="E34" s="13"/>
      <c r="F34" s="17"/>
      <c r="G34" s="28"/>
      <c r="H34" s="44"/>
      <c r="I34" s="24"/>
      <c r="J34" s="16"/>
      <c r="K34" s="13"/>
      <c r="L34" s="13"/>
      <c r="M34" s="13"/>
      <c r="N34" s="41"/>
      <c r="O34" s="55">
        <f t="shared" si="7"/>
        <v>0</v>
      </c>
      <c r="P34" s="67">
        <f t="shared" si="8"/>
        <v>0</v>
      </c>
      <c r="Q34" s="68">
        <f t="shared" si="9"/>
        <v>0</v>
      </c>
    </row>
    <row r="35" spans="1:21" ht="39" customHeight="1" thickBot="1">
      <c r="A35" s="83" t="s">
        <v>0</v>
      </c>
      <c r="B35" s="11"/>
      <c r="C35" s="58">
        <f>SUM(C7:C34)</f>
        <v>4950</v>
      </c>
      <c r="D35" s="10"/>
      <c r="E35" s="11"/>
      <c r="F35" s="11"/>
      <c r="G35" s="11"/>
      <c r="H35" s="11"/>
      <c r="I35" s="11"/>
      <c r="J35" s="59">
        <f>SUM(J7:J34)</f>
        <v>666</v>
      </c>
      <c r="K35" s="50"/>
      <c r="L35" s="50"/>
      <c r="M35" s="49"/>
      <c r="N35" s="49"/>
      <c r="O35" s="85">
        <f>C35+J35</f>
        <v>5616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O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82" priority="1" operator="containsText" text="NO TRABAJO">
      <formula>NOT(ISERROR(SEARCH("NO TRABAJO",O7)))</formula>
    </cfRule>
    <cfRule type="containsText" dxfId="81" priority="2" operator="containsText" text="FUERA DE SERVICIO">
      <formula>NOT(ISERROR(SEARCH("FUERA DE SERVICIO",O7)))</formula>
    </cfRule>
    <cfRule type="containsText" dxfId="80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89A2-4506-4CB1-ADF1-689DE623DE70}">
  <sheetPr>
    <pageSetUpPr fitToPage="1"/>
  </sheetPr>
  <dimension ref="A1:U56"/>
  <sheetViews>
    <sheetView showGridLines="0" view="pageBreakPreview" topLeftCell="A7" zoomScale="50" zoomScaleNormal="100" zoomScaleSheetLayoutView="50" workbookViewId="0">
      <selection activeCell="K34" sqref="K34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>
        <v>1800</v>
      </c>
      <c r="P2" s="187">
        <f>'DIA 13'!Q2+O2</f>
        <v>13628</v>
      </c>
      <c r="Q2" s="160">
        <f>P2-O35</f>
        <v>11811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70"/>
      <c r="P4" s="77"/>
      <c r="Q4" s="78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0"/>
      <c r="P5" s="79"/>
      <c r="Q5" s="80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13'!O6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13'!A7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13'!A8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17" si="3">J8+C8</f>
        <v>0</v>
      </c>
      <c r="P8" s="67">
        <f t="shared" ref="P8:P17" si="4">G8-B8</f>
        <v>0</v>
      </c>
      <c r="Q8" s="68">
        <f t="shared" ref="Q8:Q17" si="5">N8-I8</f>
        <v>0</v>
      </c>
    </row>
    <row r="9" spans="1:17" ht="33.75" customHeight="1">
      <c r="A9" s="84" t="str">
        <f>'DIA 13'!A9</f>
        <v>ST-036 R1300</v>
      </c>
      <c r="B9" s="24">
        <v>9115</v>
      </c>
      <c r="C9" s="61">
        <v>138</v>
      </c>
      <c r="D9" s="72" t="s">
        <v>104</v>
      </c>
      <c r="E9" s="12" t="s">
        <v>117</v>
      </c>
      <c r="F9" s="12" t="s">
        <v>111</v>
      </c>
      <c r="G9" s="27"/>
      <c r="H9" s="42"/>
      <c r="I9" s="26">
        <v>9123.5</v>
      </c>
      <c r="J9" s="14">
        <v>135</v>
      </c>
      <c r="K9" s="12" t="s">
        <v>82</v>
      </c>
      <c r="L9" s="12" t="s">
        <v>81</v>
      </c>
      <c r="M9" s="12" t="s">
        <v>82</v>
      </c>
      <c r="N9" s="37"/>
      <c r="O9" s="55">
        <f t="shared" si="3"/>
        <v>273</v>
      </c>
      <c r="P9" s="67">
        <f t="shared" si="4"/>
        <v>-9115</v>
      </c>
      <c r="Q9" s="68">
        <f t="shared" si="5"/>
        <v>-9123.5</v>
      </c>
    </row>
    <row r="10" spans="1:17" ht="33.75" customHeight="1">
      <c r="A10" s="84" t="str">
        <f>'DIA 13'!A10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si="3"/>
        <v>0</v>
      </c>
      <c r="P10" s="67">
        <f t="shared" si="4"/>
        <v>0</v>
      </c>
      <c r="Q10" s="68">
        <f t="shared" si="5"/>
        <v>0</v>
      </c>
    </row>
    <row r="11" spans="1:17" ht="33.75" customHeight="1">
      <c r="A11" s="84" t="str">
        <f>'DIA 13'!A11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3"/>
        <v>0</v>
      </c>
      <c r="P11" s="67">
        <f t="shared" si="4"/>
        <v>0</v>
      </c>
      <c r="Q11" s="68">
        <f t="shared" si="5"/>
        <v>0</v>
      </c>
    </row>
    <row r="12" spans="1:17" ht="33.75" customHeight="1">
      <c r="A12" s="84" t="str">
        <f>'DIA 13'!A12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3"/>
        <v>0</v>
      </c>
      <c r="P12" s="67">
        <f t="shared" si="4"/>
        <v>0</v>
      </c>
      <c r="Q12" s="68">
        <f t="shared" si="5"/>
        <v>0</v>
      </c>
    </row>
    <row r="13" spans="1:17" ht="33.75" customHeight="1">
      <c r="A13" s="84" t="str">
        <f>'DIA 13'!A13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3"/>
        <v>0</v>
      </c>
      <c r="P13" s="67">
        <f t="shared" si="4"/>
        <v>0</v>
      </c>
      <c r="Q13" s="68">
        <f t="shared" si="5"/>
        <v>0</v>
      </c>
    </row>
    <row r="14" spans="1:17" ht="33.75" customHeight="1">
      <c r="A14" s="84" t="str">
        <f>'DIA 13'!A14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3"/>
        <v>0</v>
      </c>
      <c r="P14" s="67">
        <f t="shared" si="4"/>
        <v>0</v>
      </c>
      <c r="Q14" s="68">
        <f t="shared" si="5"/>
        <v>0</v>
      </c>
    </row>
    <row r="15" spans="1:17" ht="33.75" customHeight="1">
      <c r="A15" s="84" t="str">
        <f>'DIA 13'!A15</f>
        <v>JA-007 RESEMIN</v>
      </c>
      <c r="B15" s="24">
        <v>772.3</v>
      </c>
      <c r="C15" s="61">
        <v>47</v>
      </c>
      <c r="D15" s="72" t="s">
        <v>125</v>
      </c>
      <c r="E15" s="12" t="s">
        <v>117</v>
      </c>
      <c r="F15" s="12" t="s">
        <v>111</v>
      </c>
      <c r="G15" s="27"/>
      <c r="H15" s="42"/>
      <c r="I15" s="26"/>
      <c r="J15" s="14"/>
      <c r="K15" s="12"/>
      <c r="L15" s="12"/>
      <c r="M15" s="12"/>
      <c r="N15" s="37"/>
      <c r="O15" s="55">
        <f t="shared" si="3"/>
        <v>47</v>
      </c>
      <c r="P15" s="67">
        <f t="shared" si="4"/>
        <v>-772.3</v>
      </c>
      <c r="Q15" s="68">
        <f t="shared" si="5"/>
        <v>0</v>
      </c>
    </row>
    <row r="16" spans="1:17" ht="33.75" customHeight="1">
      <c r="A16" s="84" t="str">
        <f>'DIA 13'!A16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3"/>
        <v>0</v>
      </c>
      <c r="P16" s="67">
        <f t="shared" si="4"/>
        <v>0</v>
      </c>
      <c r="Q16" s="68">
        <f t="shared" si="5"/>
        <v>0</v>
      </c>
    </row>
    <row r="17" spans="1:17" ht="33.75" customHeight="1">
      <c r="A17" s="84" t="str">
        <f>'DIA 13'!A17</f>
        <v>RE-009 (RETROEXCAVADORA)</v>
      </c>
      <c r="B17" s="24">
        <v>6740.3</v>
      </c>
      <c r="C17" s="61">
        <v>61</v>
      </c>
      <c r="D17" s="72" t="s">
        <v>108</v>
      </c>
      <c r="E17" s="12" t="s">
        <v>117</v>
      </c>
      <c r="F17" s="12" t="s">
        <v>111</v>
      </c>
      <c r="G17" s="27"/>
      <c r="H17" s="42"/>
      <c r="I17" s="26"/>
      <c r="J17" s="14"/>
      <c r="K17" s="12"/>
      <c r="L17" s="12"/>
      <c r="M17" s="12"/>
      <c r="N17" s="37"/>
      <c r="O17" s="55">
        <f t="shared" si="3"/>
        <v>61</v>
      </c>
      <c r="P17" s="67">
        <f t="shared" si="4"/>
        <v>-6740.3</v>
      </c>
      <c r="Q17" s="68">
        <f t="shared" si="5"/>
        <v>0</v>
      </c>
    </row>
    <row r="18" spans="1:17" ht="33.75" customHeight="1">
      <c r="A18" s="84" t="str">
        <f>'DIA 13'!A18</f>
        <v>RE-010 (RETROEXCAVADORA)</v>
      </c>
      <c r="B18" s="24"/>
      <c r="C18" s="61"/>
      <c r="D18" s="72"/>
      <c r="E18" s="12"/>
      <c r="F18" s="12"/>
      <c r="G18" s="27"/>
      <c r="H18" s="42"/>
      <c r="I18" s="26"/>
      <c r="J18" s="14"/>
      <c r="K18" s="12"/>
      <c r="L18" s="12"/>
      <c r="M18" s="12"/>
      <c r="N18" s="37"/>
      <c r="O18" s="55">
        <f t="shared" ref="O18:O33" si="6">J18+C18</f>
        <v>0</v>
      </c>
      <c r="P18" s="67">
        <f t="shared" ref="P18:P33" si="7">G18-B18</f>
        <v>0</v>
      </c>
      <c r="Q18" s="68">
        <f t="shared" ref="Q18:Q33" si="8">N18-I18</f>
        <v>0</v>
      </c>
    </row>
    <row r="19" spans="1:17" ht="33.75" customHeight="1">
      <c r="A19" s="84" t="str">
        <f>'DIA 13'!A19</f>
        <v>ZN</v>
      </c>
      <c r="B19" s="24"/>
      <c r="C19" s="61"/>
      <c r="D19" s="72"/>
      <c r="E19" s="12"/>
      <c r="F19" s="12"/>
      <c r="G19" s="27"/>
      <c r="H19" s="42"/>
      <c r="I19" s="26"/>
      <c r="J19" s="14"/>
      <c r="K19" s="12"/>
      <c r="L19" s="12"/>
      <c r="M19" s="12"/>
      <c r="N19" s="37"/>
      <c r="O19" s="55">
        <f t="shared" si="6"/>
        <v>0</v>
      </c>
      <c r="P19" s="67">
        <f t="shared" si="7"/>
        <v>0</v>
      </c>
      <c r="Q19" s="68">
        <f t="shared" si="8"/>
        <v>0</v>
      </c>
    </row>
    <row r="20" spans="1:17" ht="33.75" customHeight="1">
      <c r="A20" s="84" t="str">
        <f>'DIA 13'!A20</f>
        <v>CBP-001 (BAJO PERFIL)</v>
      </c>
      <c r="B20" s="24"/>
      <c r="C20" s="61"/>
      <c r="D20" s="72"/>
      <c r="E20" s="12"/>
      <c r="F20" s="12"/>
      <c r="G20" s="27"/>
      <c r="H20" s="42"/>
      <c r="I20" s="26"/>
      <c r="J20" s="14"/>
      <c r="K20" s="12"/>
      <c r="L20" s="12"/>
      <c r="M20" s="12"/>
      <c r="N20" s="37"/>
      <c r="O20" s="55">
        <f t="shared" si="6"/>
        <v>0</v>
      </c>
      <c r="P20" s="67">
        <f t="shared" si="7"/>
        <v>0</v>
      </c>
      <c r="Q20" s="68">
        <f t="shared" si="8"/>
        <v>0</v>
      </c>
    </row>
    <row r="21" spans="1:17" ht="33.75" customHeight="1">
      <c r="A21" s="84" t="str">
        <f>'DIA 13'!A21</f>
        <v>MG-105</v>
      </c>
      <c r="B21" s="24"/>
      <c r="C21" s="61"/>
      <c r="D21" s="72"/>
      <c r="E21" s="12"/>
      <c r="F21" s="12"/>
      <c r="G21" s="27"/>
      <c r="H21" s="42"/>
      <c r="I21" s="26"/>
      <c r="J21" s="14"/>
      <c r="K21" s="12"/>
      <c r="L21" s="12"/>
      <c r="M21" s="12"/>
      <c r="N21" s="37"/>
      <c r="O21" s="55">
        <f t="shared" si="6"/>
        <v>0</v>
      </c>
      <c r="P21" s="67">
        <f t="shared" si="7"/>
        <v>0</v>
      </c>
      <c r="Q21" s="68">
        <f t="shared" si="8"/>
        <v>0</v>
      </c>
    </row>
    <row r="22" spans="1:17" ht="33.75" customHeight="1">
      <c r="A22" s="84" t="str">
        <f>'DIA 13'!A22</f>
        <v>MG-044</v>
      </c>
      <c r="B22" s="24">
        <v>13233.8</v>
      </c>
      <c r="C22" s="61">
        <v>323</v>
      </c>
      <c r="D22" s="72" t="s">
        <v>116</v>
      </c>
      <c r="E22" s="12" t="s">
        <v>117</v>
      </c>
      <c r="F22" s="12" t="s">
        <v>111</v>
      </c>
      <c r="G22" s="25"/>
      <c r="H22" s="42"/>
      <c r="I22" s="26"/>
      <c r="J22" s="14"/>
      <c r="K22" s="12"/>
      <c r="L22" s="12"/>
      <c r="M22" s="12"/>
      <c r="N22" s="37"/>
      <c r="O22" s="55">
        <f t="shared" si="6"/>
        <v>323</v>
      </c>
      <c r="P22" s="67">
        <f t="shared" si="7"/>
        <v>-13233.8</v>
      </c>
      <c r="Q22" s="68">
        <f t="shared" si="8"/>
        <v>0</v>
      </c>
    </row>
    <row r="23" spans="1:17" ht="33.75" customHeight="1">
      <c r="A23" s="84" t="str">
        <f>'DIA 13'!A23</f>
        <v>MG-085 (POLVORERA)</v>
      </c>
      <c r="B23" s="24"/>
      <c r="C23" s="60"/>
      <c r="D23" s="71"/>
      <c r="E23" s="12"/>
      <c r="F23" s="12"/>
      <c r="G23" s="25"/>
      <c r="H23" s="42"/>
      <c r="I23" s="26">
        <v>86277</v>
      </c>
      <c r="J23" s="16">
        <v>85</v>
      </c>
      <c r="K23" s="12" t="s">
        <v>87</v>
      </c>
      <c r="L23" s="12" t="s">
        <v>81</v>
      </c>
      <c r="M23" s="12" t="s">
        <v>82</v>
      </c>
      <c r="N23" s="37"/>
      <c r="O23" s="55">
        <f t="shared" si="6"/>
        <v>85</v>
      </c>
      <c r="P23" s="67">
        <f t="shared" si="7"/>
        <v>0</v>
      </c>
      <c r="Q23" s="68">
        <f t="shared" si="8"/>
        <v>-86277</v>
      </c>
    </row>
    <row r="24" spans="1:17" ht="33.75" customHeight="1">
      <c r="A24" s="84" t="str">
        <f>'DIA 13'!A24</f>
        <v>MG-033 (PERSONAL)</v>
      </c>
      <c r="B24" s="24"/>
      <c r="C24" s="60">
        <v>50</v>
      </c>
      <c r="D24" s="71" t="s">
        <v>93</v>
      </c>
      <c r="E24" s="12" t="s">
        <v>117</v>
      </c>
      <c r="F24" s="12" t="s">
        <v>111</v>
      </c>
      <c r="G24" s="25"/>
      <c r="H24" s="42"/>
      <c r="I24" s="26"/>
      <c r="J24" s="16"/>
      <c r="K24" s="12"/>
      <c r="L24" s="12"/>
      <c r="M24" s="12"/>
      <c r="N24" s="37"/>
      <c r="O24" s="55">
        <f t="shared" si="6"/>
        <v>50</v>
      </c>
      <c r="P24" s="67">
        <f t="shared" si="7"/>
        <v>0</v>
      </c>
      <c r="Q24" s="68">
        <f t="shared" si="8"/>
        <v>0</v>
      </c>
    </row>
    <row r="25" spans="1:17" ht="33.75" customHeight="1">
      <c r="A25" s="84" t="str">
        <f>'DIA 13'!A25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6"/>
        <v>0</v>
      </c>
      <c r="P25" s="67">
        <f t="shared" si="7"/>
        <v>0</v>
      </c>
      <c r="Q25" s="68">
        <f t="shared" si="8"/>
        <v>0</v>
      </c>
    </row>
    <row r="26" spans="1:17" ht="33.75" customHeight="1">
      <c r="A26" s="84" t="str">
        <f>'DIA 13'!A26</f>
        <v>MG-121</v>
      </c>
      <c r="B26" s="24">
        <v>2619</v>
      </c>
      <c r="C26" s="61">
        <v>38</v>
      </c>
      <c r="D26" s="72" t="s">
        <v>126</v>
      </c>
      <c r="E26" s="12" t="s">
        <v>117</v>
      </c>
      <c r="F26" s="12" t="s">
        <v>111</v>
      </c>
      <c r="G26" s="27"/>
      <c r="H26" s="42"/>
      <c r="I26" s="26"/>
      <c r="J26" s="16"/>
      <c r="K26" s="17"/>
      <c r="L26" s="17"/>
      <c r="M26" s="17"/>
      <c r="N26" s="37"/>
      <c r="O26" s="55">
        <f t="shared" si="6"/>
        <v>38</v>
      </c>
      <c r="P26" s="67">
        <f t="shared" si="7"/>
        <v>-2619</v>
      </c>
      <c r="Q26" s="68">
        <f t="shared" si="8"/>
        <v>0</v>
      </c>
    </row>
    <row r="27" spans="1:17" ht="33.75" customHeight="1">
      <c r="A27" s="84" t="str">
        <f>'DIA 13'!A27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41"/>
      <c r="O27" s="55">
        <f t="shared" si="6"/>
        <v>0</v>
      </c>
      <c r="P27" s="67">
        <f t="shared" si="7"/>
        <v>0</v>
      </c>
      <c r="Q27" s="68">
        <f t="shared" si="8"/>
        <v>0</v>
      </c>
    </row>
    <row r="28" spans="1:17" ht="33.75" customHeight="1">
      <c r="A28" s="84" t="str">
        <f>'DIA 13'!A28</f>
        <v>MG-111</v>
      </c>
      <c r="B28" s="24"/>
      <c r="C28" s="60"/>
      <c r="D28" s="71"/>
      <c r="E28" s="12"/>
      <c r="F28" s="12"/>
      <c r="G28" s="25"/>
      <c r="H28" s="42"/>
      <c r="I28" s="26"/>
      <c r="J28" s="15"/>
      <c r="K28" s="13"/>
      <c r="L28" s="13"/>
      <c r="M28" s="13"/>
      <c r="N28" s="38"/>
      <c r="O28" s="55">
        <f t="shared" si="6"/>
        <v>0</v>
      </c>
      <c r="P28" s="67">
        <f t="shared" si="7"/>
        <v>0</v>
      </c>
      <c r="Q28" s="68">
        <f t="shared" si="8"/>
        <v>0</v>
      </c>
    </row>
    <row r="29" spans="1:17" ht="33.75" customHeight="1">
      <c r="A29" s="84" t="str">
        <f>'DIA 13'!A29</f>
        <v>MG-120</v>
      </c>
      <c r="B29" s="24"/>
      <c r="C29" s="61"/>
      <c r="D29" s="72"/>
      <c r="E29" s="12"/>
      <c r="F29" s="12"/>
      <c r="G29" s="27"/>
      <c r="H29" s="42"/>
      <c r="I29" s="26"/>
      <c r="J29" s="15"/>
      <c r="K29" s="13"/>
      <c r="L29" s="13"/>
      <c r="M29" s="13"/>
      <c r="N29" s="37"/>
      <c r="O29" s="55">
        <f t="shared" si="6"/>
        <v>0</v>
      </c>
      <c r="P29" s="67">
        <f t="shared" si="7"/>
        <v>0</v>
      </c>
      <c r="Q29" s="68">
        <f t="shared" si="8"/>
        <v>0</v>
      </c>
    </row>
    <row r="30" spans="1:17" ht="33.75" customHeight="1">
      <c r="A30" s="84" t="str">
        <f>'DIA 13'!A30</f>
        <v>PROSERMIN</v>
      </c>
      <c r="B30" s="24"/>
      <c r="C30" s="60">
        <v>298</v>
      </c>
      <c r="D30" s="71"/>
      <c r="E30" s="17" t="s">
        <v>117</v>
      </c>
      <c r="F30" s="12" t="s">
        <v>111</v>
      </c>
      <c r="G30" s="25"/>
      <c r="H30" s="42"/>
      <c r="I30" s="26"/>
      <c r="J30" s="16">
        <v>253</v>
      </c>
      <c r="K30" s="17"/>
      <c r="L30" s="17"/>
      <c r="M30" s="17"/>
      <c r="N30" s="37"/>
      <c r="O30" s="55">
        <f t="shared" si="6"/>
        <v>551</v>
      </c>
      <c r="P30" s="67">
        <f t="shared" si="7"/>
        <v>0</v>
      </c>
      <c r="Q30" s="68">
        <f t="shared" si="8"/>
        <v>0</v>
      </c>
    </row>
    <row r="31" spans="1:17" ht="33.75" customHeight="1">
      <c r="A31" s="84" t="str">
        <f>'DIA 13'!A31</f>
        <v>ST-060</v>
      </c>
      <c r="B31" s="24"/>
      <c r="C31" s="60"/>
      <c r="D31" s="71"/>
      <c r="E31" s="12"/>
      <c r="F31" s="12"/>
      <c r="G31" s="25"/>
      <c r="H31" s="42"/>
      <c r="I31" s="26"/>
      <c r="J31" s="15"/>
      <c r="K31" s="13"/>
      <c r="L31" s="13"/>
      <c r="M31" s="13"/>
      <c r="N31" s="37"/>
      <c r="O31" s="55">
        <f t="shared" si="6"/>
        <v>0</v>
      </c>
      <c r="P31" s="67">
        <f t="shared" si="7"/>
        <v>0</v>
      </c>
      <c r="Q31" s="68">
        <f t="shared" si="8"/>
        <v>0</v>
      </c>
    </row>
    <row r="32" spans="1:17" ht="33.75" customHeight="1">
      <c r="A32" s="84" t="str">
        <f>'DIA 13'!A32</f>
        <v>ST-53</v>
      </c>
      <c r="B32" s="24"/>
      <c r="C32" s="61"/>
      <c r="D32" s="72"/>
      <c r="E32" s="12"/>
      <c r="F32" s="12"/>
      <c r="G32" s="27"/>
      <c r="H32" s="42"/>
      <c r="I32" s="26"/>
      <c r="J32" s="8"/>
      <c r="K32" s="9"/>
      <c r="L32" s="9"/>
      <c r="M32" s="9"/>
      <c r="N32" s="37"/>
      <c r="O32" s="55">
        <f t="shared" si="6"/>
        <v>0</v>
      </c>
      <c r="P32" s="67">
        <f t="shared" si="7"/>
        <v>0</v>
      </c>
      <c r="Q32" s="68">
        <f t="shared" si="8"/>
        <v>0</v>
      </c>
    </row>
    <row r="33" spans="1:21" ht="33.75" customHeight="1">
      <c r="A33" s="84" t="str">
        <f>'DIA 13'!A33</f>
        <v>ST-039</v>
      </c>
      <c r="B33" s="24">
        <v>9507.2999999999993</v>
      </c>
      <c r="C33" s="60">
        <v>206</v>
      </c>
      <c r="D33" s="71" t="s">
        <v>105</v>
      </c>
      <c r="E33" s="17" t="s">
        <v>117</v>
      </c>
      <c r="F33" s="12" t="s">
        <v>111</v>
      </c>
      <c r="G33" s="25"/>
      <c r="H33" s="43"/>
      <c r="I33" s="26">
        <v>9515.5</v>
      </c>
      <c r="J33" s="18">
        <v>183</v>
      </c>
      <c r="K33" s="19" t="s">
        <v>83</v>
      </c>
      <c r="L33" s="76" t="s">
        <v>81</v>
      </c>
      <c r="M33" s="19" t="s">
        <v>82</v>
      </c>
      <c r="N33" s="41"/>
      <c r="O33" s="55">
        <f t="shared" si="6"/>
        <v>389</v>
      </c>
      <c r="P33" s="67">
        <f t="shared" si="7"/>
        <v>-9507.2999999999993</v>
      </c>
      <c r="Q33" s="68">
        <f t="shared" si="8"/>
        <v>-9515.5</v>
      </c>
    </row>
    <row r="34" spans="1:21" ht="33.75" customHeight="1" thickBot="1">
      <c r="A34" s="84" t="str">
        <f>'DIA 13'!A34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>J34+C34</f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1161</v>
      </c>
      <c r="D35" s="10"/>
      <c r="E35" s="11"/>
      <c r="F35" s="11"/>
      <c r="G35" s="11"/>
      <c r="H35" s="11"/>
      <c r="I35" s="11"/>
      <c r="J35" s="59">
        <f>SUM(J7:J34)</f>
        <v>656</v>
      </c>
      <c r="K35" s="50"/>
      <c r="L35" s="50"/>
      <c r="M35" s="49"/>
      <c r="N35" s="49"/>
      <c r="O35" s="85">
        <f>C35+J35</f>
        <v>1817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O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79" priority="1" operator="containsText" text="NO TRABAJO">
      <formula>NOT(ISERROR(SEARCH("NO TRABAJO",O7)))</formula>
    </cfRule>
    <cfRule type="containsText" dxfId="78" priority="2" operator="containsText" text="FUERA DE SERVICIO">
      <formula>NOT(ISERROR(SEARCH("FUERA DE SERVICIO",O7)))</formula>
    </cfRule>
    <cfRule type="containsText" dxfId="77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F64CB-0634-4F10-ADA3-85D7D639C6C0}">
  <sheetPr>
    <pageSetUpPr fitToPage="1"/>
  </sheetPr>
  <dimension ref="A1:U56"/>
  <sheetViews>
    <sheetView showGridLines="0" view="pageBreakPreview" topLeftCell="A13" zoomScale="50" zoomScaleNormal="100" zoomScaleSheetLayoutView="50" workbookViewId="0">
      <selection activeCell="L30" sqref="L30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14'!Q2+O2</f>
        <v>11811</v>
      </c>
      <c r="Q2" s="160">
        <f>P2-O35</f>
        <v>10631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64"/>
      <c r="P4" s="165"/>
      <c r="Q4" s="166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2"/>
      <c r="P5" s="193"/>
      <c r="Q5" s="194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14'!O6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14'!A7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14'!A8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14" si="3">J8+C8</f>
        <v>0</v>
      </c>
      <c r="P8" s="67">
        <f t="shared" ref="P8:P14" si="4">G8-B8</f>
        <v>0</v>
      </c>
      <c r="Q8" s="68">
        <f t="shared" ref="Q8:Q14" si="5">N8-I8</f>
        <v>0</v>
      </c>
    </row>
    <row r="9" spans="1:17" ht="33.75" customHeight="1">
      <c r="A9" s="84" t="str">
        <f>'DIA 14'!A9</f>
        <v>ST-036 R1300</v>
      </c>
      <c r="B9" s="24">
        <v>9133.2000000000007</v>
      </c>
      <c r="C9" s="61">
        <v>162</v>
      </c>
      <c r="D9" s="72" t="s">
        <v>104</v>
      </c>
      <c r="E9" s="12" t="s">
        <v>106</v>
      </c>
      <c r="F9" s="12" t="s">
        <v>107</v>
      </c>
      <c r="G9" s="27"/>
      <c r="H9" s="42"/>
      <c r="I9" s="26">
        <v>9143</v>
      </c>
      <c r="J9" s="14">
        <v>165</v>
      </c>
      <c r="K9" s="12" t="s">
        <v>82</v>
      </c>
      <c r="L9" s="12" t="s">
        <v>81</v>
      </c>
      <c r="M9" s="12" t="s">
        <v>82</v>
      </c>
      <c r="N9" s="37"/>
      <c r="O9" s="55">
        <f t="shared" si="3"/>
        <v>327</v>
      </c>
      <c r="P9" s="67">
        <f t="shared" si="4"/>
        <v>-9133.2000000000007</v>
      </c>
      <c r="Q9" s="68">
        <f t="shared" si="5"/>
        <v>-9143</v>
      </c>
    </row>
    <row r="10" spans="1:17" ht="33.75" customHeight="1">
      <c r="A10" s="84" t="str">
        <f>'DIA 14'!A10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si="3"/>
        <v>0</v>
      </c>
      <c r="P10" s="67">
        <f t="shared" si="4"/>
        <v>0</v>
      </c>
      <c r="Q10" s="68">
        <f t="shared" si="5"/>
        <v>0</v>
      </c>
    </row>
    <row r="11" spans="1:17" ht="33.75" customHeight="1">
      <c r="A11" s="84" t="str">
        <f>'DIA 14'!A11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3"/>
        <v>0</v>
      </c>
      <c r="P11" s="67">
        <f t="shared" si="4"/>
        <v>0</v>
      </c>
      <c r="Q11" s="68">
        <f t="shared" si="5"/>
        <v>0</v>
      </c>
    </row>
    <row r="12" spans="1:17" ht="33.75" customHeight="1">
      <c r="A12" s="84" t="str">
        <f>'DIA 14'!A12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3"/>
        <v>0</v>
      </c>
      <c r="P12" s="67">
        <f t="shared" si="4"/>
        <v>0</v>
      </c>
      <c r="Q12" s="68">
        <f t="shared" si="5"/>
        <v>0</v>
      </c>
    </row>
    <row r="13" spans="1:17" ht="33.75" customHeight="1">
      <c r="A13" s="84" t="str">
        <f>'DIA 14'!A13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3"/>
        <v>0</v>
      </c>
      <c r="P13" s="67">
        <f t="shared" si="4"/>
        <v>0</v>
      </c>
      <c r="Q13" s="68">
        <f t="shared" si="5"/>
        <v>0</v>
      </c>
    </row>
    <row r="14" spans="1:17" ht="33.75" customHeight="1">
      <c r="A14" s="84" t="str">
        <f>'DIA 14'!A14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3"/>
        <v>0</v>
      </c>
      <c r="P14" s="67">
        <f t="shared" si="4"/>
        <v>0</v>
      </c>
      <c r="Q14" s="68">
        <f t="shared" si="5"/>
        <v>0</v>
      </c>
    </row>
    <row r="15" spans="1:17" ht="33.75" customHeight="1">
      <c r="A15" s="84" t="str">
        <f>'DIA 14'!A15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ref="O15:O34" si="6">J15+C15</f>
        <v>0</v>
      </c>
      <c r="P15" s="67">
        <f t="shared" si="1"/>
        <v>0</v>
      </c>
      <c r="Q15" s="68">
        <f t="shared" si="2"/>
        <v>0</v>
      </c>
    </row>
    <row r="16" spans="1:17" ht="33.75" customHeight="1">
      <c r="A16" s="84" t="str">
        <f>'DIA 14'!A16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6"/>
        <v>0</v>
      </c>
      <c r="P16" s="67">
        <f t="shared" si="1"/>
        <v>0</v>
      </c>
      <c r="Q16" s="68">
        <f t="shared" si="2"/>
        <v>0</v>
      </c>
    </row>
    <row r="17" spans="1:17" ht="33.75" customHeight="1">
      <c r="A17" s="84" t="str">
        <f>'DIA 14'!A17</f>
        <v>RE-009 (RETROEXCAVADORA)</v>
      </c>
      <c r="B17" s="24"/>
      <c r="C17" s="61"/>
      <c r="D17" s="72"/>
      <c r="E17" s="12"/>
      <c r="F17" s="12"/>
      <c r="G17" s="25"/>
      <c r="H17" s="42"/>
      <c r="I17" s="26">
        <v>6757.3</v>
      </c>
      <c r="J17" s="14">
        <v>48</v>
      </c>
      <c r="K17" s="12" t="s">
        <v>118</v>
      </c>
      <c r="L17" s="12" t="s">
        <v>81</v>
      </c>
      <c r="M17" s="12" t="s">
        <v>82</v>
      </c>
      <c r="N17" s="37"/>
      <c r="O17" s="55">
        <f t="shared" si="6"/>
        <v>48</v>
      </c>
      <c r="P17" s="67">
        <f t="shared" si="1"/>
        <v>0</v>
      </c>
      <c r="Q17" s="68">
        <f t="shared" si="2"/>
        <v>-6757.3</v>
      </c>
    </row>
    <row r="18" spans="1:17" ht="33.75" customHeight="1">
      <c r="A18" s="84" t="str">
        <f>'DIA 14'!A18</f>
        <v>RE-010 (RETROEXCAVADORA)</v>
      </c>
      <c r="B18" s="24"/>
      <c r="C18" s="60"/>
      <c r="D18" s="71"/>
      <c r="E18" s="12"/>
      <c r="F18" s="12"/>
      <c r="G18" s="25"/>
      <c r="H18" s="42"/>
      <c r="I18" s="26"/>
      <c r="J18" s="16"/>
      <c r="K18" s="12"/>
      <c r="L18" s="12"/>
      <c r="M18" s="12"/>
      <c r="N18" s="37"/>
      <c r="O18" s="55">
        <f t="shared" si="6"/>
        <v>0</v>
      </c>
      <c r="P18" s="67">
        <f t="shared" si="1"/>
        <v>0</v>
      </c>
      <c r="Q18" s="68">
        <f t="shared" si="2"/>
        <v>0</v>
      </c>
    </row>
    <row r="19" spans="1:17" ht="33.75" customHeight="1">
      <c r="A19" s="84" t="str">
        <f>'DIA 14'!A19</f>
        <v>ZN</v>
      </c>
      <c r="B19" s="24"/>
      <c r="C19" s="60"/>
      <c r="D19" s="71"/>
      <c r="E19" s="12"/>
      <c r="F19" s="12"/>
      <c r="G19" s="25"/>
      <c r="H19" s="42"/>
      <c r="I19" s="26"/>
      <c r="J19" s="16"/>
      <c r="K19" s="12"/>
      <c r="L19" s="12"/>
      <c r="M19" s="12"/>
      <c r="N19" s="37"/>
      <c r="O19" s="55">
        <f t="shared" si="6"/>
        <v>0</v>
      </c>
      <c r="P19" s="67">
        <f t="shared" si="1"/>
        <v>0</v>
      </c>
      <c r="Q19" s="68">
        <f t="shared" si="2"/>
        <v>0</v>
      </c>
    </row>
    <row r="20" spans="1:17" ht="33.75" customHeight="1">
      <c r="A20" s="84" t="str">
        <f>'DIA 14'!A20</f>
        <v>CBP-001 (BAJO PERFIL)</v>
      </c>
      <c r="B20" s="24"/>
      <c r="C20" s="60"/>
      <c r="D20" s="71"/>
      <c r="E20" s="12"/>
      <c r="F20" s="12"/>
      <c r="G20" s="25"/>
      <c r="H20" s="42"/>
      <c r="I20" s="26"/>
      <c r="J20" s="16"/>
      <c r="K20" s="12"/>
      <c r="L20" s="12"/>
      <c r="M20" s="12"/>
      <c r="N20" s="37"/>
      <c r="O20" s="55">
        <f t="shared" ref="O20:O28" si="7">J20+C20</f>
        <v>0</v>
      </c>
      <c r="P20" s="67">
        <f t="shared" ref="P20:P28" si="8">G20-B20</f>
        <v>0</v>
      </c>
      <c r="Q20" s="68">
        <f t="shared" ref="Q20:Q28" si="9">N20-I20</f>
        <v>0</v>
      </c>
    </row>
    <row r="21" spans="1:17" ht="33.75" customHeight="1">
      <c r="A21" s="84" t="str">
        <f>'DIA 14'!A21</f>
        <v>MG-105</v>
      </c>
      <c r="B21" s="24"/>
      <c r="C21" s="60"/>
      <c r="D21" s="71"/>
      <c r="E21" s="12"/>
      <c r="F21" s="12"/>
      <c r="G21" s="25"/>
      <c r="H21" s="42"/>
      <c r="I21" s="26"/>
      <c r="J21" s="16"/>
      <c r="K21" s="12"/>
      <c r="L21" s="12"/>
      <c r="M21" s="12"/>
      <c r="N21" s="37"/>
      <c r="O21" s="55">
        <f t="shared" si="7"/>
        <v>0</v>
      </c>
      <c r="P21" s="67">
        <f t="shared" si="8"/>
        <v>0</v>
      </c>
      <c r="Q21" s="68">
        <f t="shared" si="9"/>
        <v>0</v>
      </c>
    </row>
    <row r="22" spans="1:17" ht="33.75" customHeight="1">
      <c r="A22" s="84" t="str">
        <f>'DIA 14'!A22</f>
        <v>MG-044</v>
      </c>
      <c r="B22" s="24"/>
      <c r="C22" s="60"/>
      <c r="D22" s="71"/>
      <c r="E22" s="12"/>
      <c r="F22" s="12"/>
      <c r="G22" s="25"/>
      <c r="H22" s="42"/>
      <c r="I22" s="26"/>
      <c r="J22" s="16"/>
      <c r="K22" s="12"/>
      <c r="L22" s="12"/>
      <c r="M22" s="12"/>
      <c r="N22" s="37"/>
      <c r="O22" s="55">
        <f t="shared" si="7"/>
        <v>0</v>
      </c>
      <c r="P22" s="67">
        <f t="shared" si="8"/>
        <v>0</v>
      </c>
      <c r="Q22" s="68">
        <f t="shared" si="9"/>
        <v>0</v>
      </c>
    </row>
    <row r="23" spans="1:17" ht="33.75" customHeight="1">
      <c r="A23" s="84" t="str">
        <f>'DIA 14'!A23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7"/>
        <v>0</v>
      </c>
      <c r="P23" s="67">
        <f t="shared" si="8"/>
        <v>0</v>
      </c>
      <c r="Q23" s="68">
        <f t="shared" si="9"/>
        <v>0</v>
      </c>
    </row>
    <row r="24" spans="1:17" ht="33.75" customHeight="1">
      <c r="A24" s="84" t="str">
        <f>'DIA 14'!A24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7"/>
        <v>0</v>
      </c>
      <c r="P24" s="67">
        <f t="shared" si="8"/>
        <v>0</v>
      </c>
      <c r="Q24" s="68">
        <f t="shared" si="9"/>
        <v>0</v>
      </c>
    </row>
    <row r="25" spans="1:17" ht="33.75" customHeight="1">
      <c r="A25" s="84" t="str">
        <f>'DIA 14'!A25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7"/>
        <v>0</v>
      </c>
      <c r="P25" s="67">
        <f t="shared" si="8"/>
        <v>0</v>
      </c>
      <c r="Q25" s="68">
        <f t="shared" si="9"/>
        <v>0</v>
      </c>
    </row>
    <row r="26" spans="1:17" ht="33.75" customHeight="1">
      <c r="A26" s="84" t="str">
        <f>'DIA 14'!A26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7"/>
        <v>0</v>
      </c>
      <c r="P26" s="67">
        <f t="shared" si="8"/>
        <v>0</v>
      </c>
      <c r="Q26" s="68">
        <f t="shared" si="9"/>
        <v>0</v>
      </c>
    </row>
    <row r="27" spans="1:17" ht="33.75" customHeight="1">
      <c r="A27" s="84" t="str">
        <f>'DIA 14'!A27</f>
        <v>MG-086</v>
      </c>
      <c r="B27" s="24"/>
      <c r="C27" s="60"/>
      <c r="D27" s="71"/>
      <c r="E27" s="17"/>
      <c r="F27" s="12"/>
      <c r="G27" s="25"/>
      <c r="H27" s="42"/>
      <c r="I27" s="26">
        <v>7404.5</v>
      </c>
      <c r="J27" s="16">
        <v>40</v>
      </c>
      <c r="K27" s="13" t="s">
        <v>127</v>
      </c>
      <c r="L27" s="13" t="s">
        <v>81</v>
      </c>
      <c r="M27" s="13" t="s">
        <v>82</v>
      </c>
      <c r="N27" s="41"/>
      <c r="O27" s="55">
        <f t="shared" si="7"/>
        <v>40</v>
      </c>
      <c r="P27" s="67">
        <f t="shared" si="8"/>
        <v>0</v>
      </c>
      <c r="Q27" s="68">
        <f t="shared" si="9"/>
        <v>-7404.5</v>
      </c>
    </row>
    <row r="28" spans="1:17" ht="33.75" customHeight="1">
      <c r="A28" s="84" t="str">
        <f>'DIA 14'!A28</f>
        <v>MG-111</v>
      </c>
      <c r="B28" s="24"/>
      <c r="C28" s="62"/>
      <c r="D28" s="57"/>
      <c r="E28" s="13"/>
      <c r="F28" s="12"/>
      <c r="G28" s="28"/>
      <c r="H28" s="42"/>
      <c r="I28" s="26"/>
      <c r="J28" s="15"/>
      <c r="K28" s="13"/>
      <c r="L28" s="13"/>
      <c r="M28" s="13"/>
      <c r="N28" s="38"/>
      <c r="O28" s="55">
        <f t="shared" si="7"/>
        <v>0</v>
      </c>
      <c r="P28" s="67">
        <f t="shared" si="8"/>
        <v>0</v>
      </c>
      <c r="Q28" s="68">
        <f t="shared" si="9"/>
        <v>0</v>
      </c>
    </row>
    <row r="29" spans="1:17" ht="33.75" customHeight="1">
      <c r="A29" s="84" t="str">
        <f>'DIA 14'!A29</f>
        <v>MG-120</v>
      </c>
      <c r="B29" s="24"/>
      <c r="C29" s="62"/>
      <c r="D29" s="57"/>
      <c r="E29" s="13"/>
      <c r="F29" s="12"/>
      <c r="G29" s="28"/>
      <c r="H29" s="42"/>
      <c r="I29" s="26"/>
      <c r="J29" s="15"/>
      <c r="K29" s="13"/>
      <c r="L29" s="13"/>
      <c r="M29" s="13"/>
      <c r="N29" s="37"/>
      <c r="O29" s="55">
        <f t="shared" si="6"/>
        <v>0</v>
      </c>
      <c r="P29" s="67">
        <f t="shared" si="1"/>
        <v>0</v>
      </c>
      <c r="Q29" s="68">
        <f t="shared" si="2"/>
        <v>0</v>
      </c>
    </row>
    <row r="30" spans="1:17" ht="33.75" customHeight="1">
      <c r="A30" s="84" t="str">
        <f>'DIA 14'!A30</f>
        <v>PROSERMIN</v>
      </c>
      <c r="B30" s="24"/>
      <c r="C30" s="62">
        <v>237</v>
      </c>
      <c r="D30" s="57"/>
      <c r="E30" s="13"/>
      <c r="F30" s="12"/>
      <c r="G30" s="28"/>
      <c r="H30" s="42"/>
      <c r="I30" s="26"/>
      <c r="J30" s="15">
        <v>80</v>
      </c>
      <c r="K30" s="13"/>
      <c r="L30" s="13"/>
      <c r="M30" s="13"/>
      <c r="N30" s="37"/>
      <c r="O30" s="55">
        <f t="shared" si="6"/>
        <v>317</v>
      </c>
      <c r="P30" s="67">
        <f t="shared" si="1"/>
        <v>0</v>
      </c>
      <c r="Q30" s="68">
        <f t="shared" si="2"/>
        <v>0</v>
      </c>
    </row>
    <row r="31" spans="1:17" ht="33.75" customHeight="1">
      <c r="A31" s="84" t="str">
        <f>'DIA 14'!A31</f>
        <v>ST-060</v>
      </c>
      <c r="B31" s="24"/>
      <c r="C31" s="62"/>
      <c r="D31" s="57"/>
      <c r="E31" s="13"/>
      <c r="F31" s="12"/>
      <c r="G31" s="28"/>
      <c r="H31" s="42"/>
      <c r="I31" s="26"/>
      <c r="J31" s="16"/>
      <c r="K31" s="17"/>
      <c r="L31" s="17"/>
      <c r="M31" s="17"/>
      <c r="N31" s="37"/>
      <c r="O31" s="55">
        <f t="shared" si="6"/>
        <v>0</v>
      </c>
      <c r="P31" s="67">
        <f t="shared" ref="P31:P32" si="10">G31-B31</f>
        <v>0</v>
      </c>
      <c r="Q31" s="68">
        <f t="shared" ref="Q31:Q32" si="11">N31-I31</f>
        <v>0</v>
      </c>
    </row>
    <row r="32" spans="1:17" ht="33.75" customHeight="1">
      <c r="A32" s="84" t="str">
        <f>'DIA 14'!A32</f>
        <v>ST-53</v>
      </c>
      <c r="B32" s="24"/>
      <c r="C32" s="62"/>
      <c r="D32" s="57"/>
      <c r="E32" s="13"/>
      <c r="F32" s="12"/>
      <c r="G32" s="28"/>
      <c r="H32" s="42"/>
      <c r="I32" s="26"/>
      <c r="J32" s="8"/>
      <c r="K32" s="9"/>
      <c r="L32" s="9"/>
      <c r="M32" s="9"/>
      <c r="N32" s="37"/>
      <c r="O32" s="55">
        <f t="shared" si="6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14'!A33</f>
        <v>ST-039</v>
      </c>
      <c r="B33" s="24">
        <v>9525</v>
      </c>
      <c r="C33" s="64">
        <v>206</v>
      </c>
      <c r="D33" s="150" t="s">
        <v>105</v>
      </c>
      <c r="E33" s="19" t="s">
        <v>106</v>
      </c>
      <c r="F33" s="12" t="s">
        <v>107</v>
      </c>
      <c r="G33" s="31"/>
      <c r="H33" s="43"/>
      <c r="I33" s="26">
        <v>9533</v>
      </c>
      <c r="J33" s="18">
        <v>242</v>
      </c>
      <c r="K33" s="19" t="s">
        <v>83</v>
      </c>
      <c r="L33" s="19" t="s">
        <v>81</v>
      </c>
      <c r="M33" s="19" t="s">
        <v>82</v>
      </c>
      <c r="N33" s="41"/>
      <c r="O33" s="55">
        <f t="shared" si="6"/>
        <v>448</v>
      </c>
      <c r="P33" s="67">
        <f t="shared" si="1"/>
        <v>-9525</v>
      </c>
      <c r="Q33" s="68">
        <f t="shared" si="2"/>
        <v>-9533</v>
      </c>
    </row>
    <row r="34" spans="1:21" ht="33.75" customHeight="1" thickBot="1">
      <c r="A34" s="84" t="str">
        <f>'DIA 14'!A34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 t="shared" si="6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605</v>
      </c>
      <c r="D35" s="10"/>
      <c r="E35" s="11"/>
      <c r="F35" s="11"/>
      <c r="G35" s="11"/>
      <c r="H35" s="11"/>
      <c r="I35" s="11"/>
      <c r="J35" s="59">
        <f>SUM(J7:J34)</f>
        <v>575</v>
      </c>
      <c r="K35" s="50"/>
      <c r="L35" s="50"/>
      <c r="M35" s="49"/>
      <c r="N35" s="49"/>
      <c r="O35" s="85">
        <f>C35+J35</f>
        <v>1180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O38:Q41"/>
    <mergeCell ref="O4:Q5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A38:D41"/>
    <mergeCell ref="G38:M41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76" priority="1" operator="containsText" text="NO TRABAJO">
      <formula>NOT(ISERROR(SEARCH("NO TRABAJO",O7)))</formula>
    </cfRule>
    <cfRule type="containsText" dxfId="75" priority="2" operator="containsText" text="FUERA DE SERVICIO">
      <formula>NOT(ISERROR(SEARCH("FUERA DE SERVICIO",O7)))</formula>
    </cfRule>
    <cfRule type="containsText" dxfId="74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79FC-EB76-4453-A262-7A618486DAA2}">
  <sheetPr>
    <pageSetUpPr fitToPage="1"/>
  </sheetPr>
  <dimension ref="A1:U56"/>
  <sheetViews>
    <sheetView showGridLines="0" view="pageBreakPreview" topLeftCell="A13" zoomScale="50" zoomScaleNormal="100" zoomScaleSheetLayoutView="50" workbookViewId="0">
      <selection activeCell="L29" sqref="L29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15'!Q2+O2</f>
        <v>10631</v>
      </c>
      <c r="Q2" s="160">
        <f>P2-O35</f>
        <v>9208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64"/>
      <c r="P4" s="165"/>
      <c r="Q4" s="166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2"/>
      <c r="P5" s="193"/>
      <c r="Q5" s="194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15'!O6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15'!A7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15'!A8</f>
        <v>ST-025 (1600)</v>
      </c>
      <c r="B8" s="24">
        <v>27552.3</v>
      </c>
      <c r="C8" s="61">
        <v>166</v>
      </c>
      <c r="D8" s="72" t="s">
        <v>104</v>
      </c>
      <c r="E8" s="12" t="s">
        <v>106</v>
      </c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15" si="3">J8+C8</f>
        <v>166</v>
      </c>
      <c r="P8" s="67">
        <f t="shared" ref="P8:P15" si="4">G8-B8</f>
        <v>-27552.3</v>
      </c>
      <c r="Q8" s="68">
        <f t="shared" ref="Q8:Q15" si="5">N8-I8</f>
        <v>0</v>
      </c>
    </row>
    <row r="9" spans="1:17" ht="33.75" customHeight="1">
      <c r="A9" s="84" t="str">
        <f>'DIA 15'!A9</f>
        <v>ST-036 R1300</v>
      </c>
      <c r="B9" s="24">
        <v>9152.5</v>
      </c>
      <c r="C9" s="61">
        <v>161</v>
      </c>
      <c r="D9" s="72" t="s">
        <v>128</v>
      </c>
      <c r="E9" s="12" t="s">
        <v>106</v>
      </c>
      <c r="F9" s="12"/>
      <c r="G9" s="27"/>
      <c r="H9" s="42"/>
      <c r="I9" s="26">
        <v>4159.2</v>
      </c>
      <c r="J9" s="14">
        <v>154</v>
      </c>
      <c r="K9" s="12" t="s">
        <v>82</v>
      </c>
      <c r="L9" s="12" t="s">
        <v>81</v>
      </c>
      <c r="M9" s="12" t="s">
        <v>82</v>
      </c>
      <c r="N9" s="37"/>
      <c r="O9" s="55">
        <f t="shared" si="3"/>
        <v>315</v>
      </c>
      <c r="P9" s="67">
        <f t="shared" si="4"/>
        <v>-9152.5</v>
      </c>
      <c r="Q9" s="68">
        <f t="shared" si="5"/>
        <v>-4159.2</v>
      </c>
    </row>
    <row r="10" spans="1:17" ht="33.75" customHeight="1">
      <c r="A10" s="84" t="str">
        <f>'DIA 15'!A10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si="3"/>
        <v>0</v>
      </c>
      <c r="P10" s="67">
        <f t="shared" si="4"/>
        <v>0</v>
      </c>
      <c r="Q10" s="68">
        <f t="shared" si="5"/>
        <v>0</v>
      </c>
    </row>
    <row r="11" spans="1:17" ht="33.75" customHeight="1">
      <c r="A11" s="84" t="str">
        <f>'DIA 15'!A11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3"/>
        <v>0</v>
      </c>
      <c r="P11" s="67">
        <f t="shared" si="4"/>
        <v>0</v>
      </c>
      <c r="Q11" s="68">
        <f t="shared" si="5"/>
        <v>0</v>
      </c>
    </row>
    <row r="12" spans="1:17" ht="33.75" customHeight="1">
      <c r="A12" s="84" t="str">
        <f>'DIA 15'!A12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3"/>
        <v>0</v>
      </c>
      <c r="P12" s="67">
        <f t="shared" si="4"/>
        <v>0</v>
      </c>
      <c r="Q12" s="68">
        <f t="shared" si="5"/>
        <v>0</v>
      </c>
    </row>
    <row r="13" spans="1:17" ht="33.75" customHeight="1">
      <c r="A13" s="84" t="str">
        <f>'DIA 15'!A13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3"/>
        <v>0</v>
      </c>
      <c r="P13" s="67">
        <f t="shared" si="4"/>
        <v>0</v>
      </c>
      <c r="Q13" s="68">
        <f t="shared" si="5"/>
        <v>0</v>
      </c>
    </row>
    <row r="14" spans="1:17" ht="33.75" customHeight="1">
      <c r="A14" s="84" t="str">
        <f>'DIA 15'!A14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3"/>
        <v>0</v>
      </c>
      <c r="P14" s="67">
        <f t="shared" si="4"/>
        <v>0</v>
      </c>
      <c r="Q14" s="68">
        <f t="shared" si="5"/>
        <v>0</v>
      </c>
    </row>
    <row r="15" spans="1:17" ht="33.75" customHeight="1">
      <c r="A15" s="84" t="str">
        <f>'DIA 15'!A15</f>
        <v>JA-007 RESEMIN</v>
      </c>
      <c r="B15" s="24"/>
      <c r="C15" s="61"/>
      <c r="D15" s="72"/>
      <c r="E15" s="12"/>
      <c r="F15" s="12"/>
      <c r="G15" s="27"/>
      <c r="H15" s="42"/>
      <c r="I15" s="26">
        <v>776.8</v>
      </c>
      <c r="J15" s="14">
        <v>20</v>
      </c>
      <c r="K15" s="12" t="s">
        <v>85</v>
      </c>
      <c r="L15" s="12" t="s">
        <v>81</v>
      </c>
      <c r="M15" s="12" t="s">
        <v>82</v>
      </c>
      <c r="N15" s="37"/>
      <c r="O15" s="55">
        <f t="shared" si="3"/>
        <v>20</v>
      </c>
      <c r="P15" s="67">
        <f t="shared" si="4"/>
        <v>0</v>
      </c>
      <c r="Q15" s="68">
        <f t="shared" si="5"/>
        <v>-776.8</v>
      </c>
    </row>
    <row r="16" spans="1:17" ht="33.75" customHeight="1">
      <c r="A16" s="84" t="str">
        <f>'DIA 15'!A16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ref="O16:O34" si="6">J16+C16</f>
        <v>0</v>
      </c>
      <c r="P16" s="67">
        <f t="shared" si="1"/>
        <v>0</v>
      </c>
      <c r="Q16" s="68">
        <f t="shared" si="2"/>
        <v>0</v>
      </c>
    </row>
    <row r="17" spans="1:17" ht="33.75" customHeight="1">
      <c r="A17" s="84" t="str">
        <f>'DIA 15'!A17</f>
        <v>RE-009 (RETROEXCAVADORA)</v>
      </c>
      <c r="B17" s="24">
        <v>6761.3</v>
      </c>
      <c r="C17" s="61">
        <v>28</v>
      </c>
      <c r="D17" s="72" t="s">
        <v>108</v>
      </c>
      <c r="E17" s="12" t="s">
        <v>106</v>
      </c>
      <c r="F17" s="12"/>
      <c r="G17" s="27"/>
      <c r="H17" s="42"/>
      <c r="I17" s="26"/>
      <c r="J17" s="14"/>
      <c r="K17" s="12"/>
      <c r="L17" s="12"/>
      <c r="M17" s="12"/>
      <c r="N17" s="37"/>
      <c r="O17" s="55">
        <f t="shared" ref="O17:O32" si="7">J17+C17</f>
        <v>28</v>
      </c>
      <c r="P17" s="67">
        <f t="shared" ref="P17:P32" si="8">G17-B17</f>
        <v>-6761.3</v>
      </c>
      <c r="Q17" s="68">
        <f t="shared" ref="Q17:Q32" si="9">N17-I17</f>
        <v>0</v>
      </c>
    </row>
    <row r="18" spans="1:17" ht="33.75" customHeight="1">
      <c r="A18" s="84" t="str">
        <f>'DIA 15'!A18</f>
        <v>RE-010 (RETROEXCAVADORA)</v>
      </c>
      <c r="B18" s="24"/>
      <c r="C18" s="61"/>
      <c r="D18" s="72"/>
      <c r="E18" s="12"/>
      <c r="F18" s="12"/>
      <c r="G18" s="27"/>
      <c r="H18" s="42"/>
      <c r="I18" s="26"/>
      <c r="J18" s="14"/>
      <c r="K18" s="12"/>
      <c r="L18" s="12"/>
      <c r="M18" s="12"/>
      <c r="N18" s="37"/>
      <c r="O18" s="55">
        <f t="shared" si="7"/>
        <v>0</v>
      </c>
      <c r="P18" s="67">
        <f t="shared" si="8"/>
        <v>0</v>
      </c>
      <c r="Q18" s="68">
        <f t="shared" si="9"/>
        <v>0</v>
      </c>
    </row>
    <row r="19" spans="1:17" ht="33.75" customHeight="1">
      <c r="A19" s="84" t="str">
        <f>'DIA 15'!A19</f>
        <v>ZN</v>
      </c>
      <c r="B19" s="24"/>
      <c r="C19" s="61"/>
      <c r="D19" s="72"/>
      <c r="E19" s="12"/>
      <c r="F19" s="12"/>
      <c r="G19" s="27"/>
      <c r="H19" s="42"/>
      <c r="I19" s="26"/>
      <c r="J19" s="14"/>
      <c r="K19" s="12"/>
      <c r="L19" s="12"/>
      <c r="M19" s="12"/>
      <c r="N19" s="37"/>
      <c r="O19" s="55">
        <f t="shared" si="7"/>
        <v>0</v>
      </c>
      <c r="P19" s="67">
        <f t="shared" si="8"/>
        <v>0</v>
      </c>
      <c r="Q19" s="68">
        <f t="shared" si="9"/>
        <v>0</v>
      </c>
    </row>
    <row r="20" spans="1:17" ht="33.75" customHeight="1">
      <c r="A20" s="84" t="str">
        <f>'DIA 15'!A20</f>
        <v>CBP-001 (BAJO PERFIL)</v>
      </c>
      <c r="B20" s="24"/>
      <c r="C20" s="61"/>
      <c r="D20" s="72"/>
      <c r="E20" s="12"/>
      <c r="F20" s="12"/>
      <c r="G20" s="27"/>
      <c r="H20" s="42"/>
      <c r="I20" s="26"/>
      <c r="J20" s="14"/>
      <c r="K20" s="12"/>
      <c r="L20" s="12"/>
      <c r="M20" s="12"/>
      <c r="N20" s="37"/>
      <c r="O20" s="55">
        <f t="shared" si="7"/>
        <v>0</v>
      </c>
      <c r="P20" s="67">
        <f t="shared" si="8"/>
        <v>0</v>
      </c>
      <c r="Q20" s="68">
        <f t="shared" si="9"/>
        <v>0</v>
      </c>
    </row>
    <row r="21" spans="1:17" ht="33.75" customHeight="1">
      <c r="A21" s="84" t="str">
        <f>'DIA 15'!A21</f>
        <v>MG-105</v>
      </c>
      <c r="B21" s="24">
        <v>309.3</v>
      </c>
      <c r="C21" s="61">
        <v>281</v>
      </c>
      <c r="D21" s="72" t="s">
        <v>116</v>
      </c>
      <c r="E21" s="12" t="s">
        <v>106</v>
      </c>
      <c r="F21" s="12"/>
      <c r="G21" s="27"/>
      <c r="H21" s="42"/>
      <c r="I21" s="26"/>
      <c r="J21" s="14"/>
      <c r="K21" s="12"/>
      <c r="L21" s="12"/>
      <c r="M21" s="12"/>
      <c r="N21" s="37"/>
      <c r="O21" s="55">
        <f t="shared" si="7"/>
        <v>281</v>
      </c>
      <c r="P21" s="67">
        <f t="shared" si="8"/>
        <v>-309.3</v>
      </c>
      <c r="Q21" s="68">
        <f t="shared" si="9"/>
        <v>0</v>
      </c>
    </row>
    <row r="22" spans="1:17" ht="33.75" customHeight="1">
      <c r="A22" s="84" t="str">
        <f>'DIA 15'!A22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7"/>
        <v>0</v>
      </c>
      <c r="P22" s="67">
        <f t="shared" si="8"/>
        <v>0</v>
      </c>
      <c r="Q22" s="68">
        <f t="shared" si="9"/>
        <v>0</v>
      </c>
    </row>
    <row r="23" spans="1:17" ht="33.75" customHeight="1">
      <c r="A23" s="84" t="str">
        <f>'DIA 15'!A23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7"/>
        <v>0</v>
      </c>
      <c r="P23" s="67">
        <f t="shared" si="8"/>
        <v>0</v>
      </c>
      <c r="Q23" s="68">
        <f t="shared" si="9"/>
        <v>0</v>
      </c>
    </row>
    <row r="24" spans="1:17" ht="33.75" customHeight="1">
      <c r="A24" s="84" t="str">
        <f>'DIA 15'!A24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7"/>
        <v>0</v>
      </c>
      <c r="P24" s="67">
        <f t="shared" si="8"/>
        <v>0</v>
      </c>
      <c r="Q24" s="68">
        <f t="shared" si="9"/>
        <v>0</v>
      </c>
    </row>
    <row r="25" spans="1:17" ht="33.75" customHeight="1">
      <c r="A25" s="84" t="str">
        <f>'DIA 15'!A25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7"/>
        <v>0</v>
      </c>
      <c r="P25" s="67">
        <f t="shared" si="8"/>
        <v>0</v>
      </c>
      <c r="Q25" s="68">
        <f t="shared" si="9"/>
        <v>0</v>
      </c>
    </row>
    <row r="26" spans="1:17" ht="33.75" customHeight="1">
      <c r="A26" s="84" t="str">
        <f>'DIA 15'!A26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7"/>
        <v>0</v>
      </c>
      <c r="P26" s="67">
        <f t="shared" si="8"/>
        <v>0</v>
      </c>
      <c r="Q26" s="68">
        <f t="shared" si="9"/>
        <v>0</v>
      </c>
    </row>
    <row r="27" spans="1:17" ht="33.75" customHeight="1">
      <c r="A27" s="84" t="str">
        <f>'DIA 15'!A27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41"/>
      <c r="O27" s="55">
        <f t="shared" si="7"/>
        <v>0</v>
      </c>
      <c r="P27" s="67">
        <f t="shared" si="8"/>
        <v>0</v>
      </c>
      <c r="Q27" s="68">
        <f t="shared" si="9"/>
        <v>0</v>
      </c>
    </row>
    <row r="28" spans="1:17" ht="33.75" customHeight="1">
      <c r="A28" s="84" t="str">
        <f>'DIA 15'!A28</f>
        <v>MG-111</v>
      </c>
      <c r="B28" s="24"/>
      <c r="C28" s="62"/>
      <c r="D28" s="57"/>
      <c r="E28" s="13"/>
      <c r="F28" s="12"/>
      <c r="G28" s="28"/>
      <c r="H28" s="42"/>
      <c r="I28" s="26"/>
      <c r="J28" s="15"/>
      <c r="K28" s="13"/>
      <c r="L28" s="13"/>
      <c r="M28" s="13"/>
      <c r="N28" s="38"/>
      <c r="O28" s="55">
        <f t="shared" si="7"/>
        <v>0</v>
      </c>
      <c r="P28" s="67">
        <f t="shared" si="8"/>
        <v>0</v>
      </c>
      <c r="Q28" s="68">
        <f t="shared" si="9"/>
        <v>0</v>
      </c>
    </row>
    <row r="29" spans="1:17" ht="33.75" customHeight="1">
      <c r="A29" s="84" t="str">
        <f>'DIA 15'!A29</f>
        <v>MG-120</v>
      </c>
      <c r="B29" s="24"/>
      <c r="C29" s="62"/>
      <c r="D29" s="57"/>
      <c r="E29" s="13"/>
      <c r="F29" s="12"/>
      <c r="G29" s="28"/>
      <c r="H29" s="42"/>
      <c r="I29" s="26"/>
      <c r="J29" s="15"/>
      <c r="K29" s="13"/>
      <c r="L29" s="13"/>
      <c r="M29" s="13"/>
      <c r="N29" s="37"/>
      <c r="O29" s="55">
        <f t="shared" si="7"/>
        <v>0</v>
      </c>
      <c r="P29" s="67">
        <f t="shared" si="8"/>
        <v>0</v>
      </c>
      <c r="Q29" s="68">
        <f t="shared" si="9"/>
        <v>0</v>
      </c>
    </row>
    <row r="30" spans="1:17" ht="33.75" customHeight="1">
      <c r="A30" s="84" t="str">
        <f>'DIA 15'!A30</f>
        <v>PROSERMIN</v>
      </c>
      <c r="B30" s="24"/>
      <c r="C30" s="62">
        <v>241</v>
      </c>
      <c r="D30" s="57"/>
      <c r="E30" s="13"/>
      <c r="F30" s="12"/>
      <c r="G30" s="28"/>
      <c r="H30" s="42"/>
      <c r="I30" s="26"/>
      <c r="J30" s="15">
        <v>158</v>
      </c>
      <c r="K30" s="13"/>
      <c r="L30" s="13"/>
      <c r="M30" s="13"/>
      <c r="N30" s="37"/>
      <c r="O30" s="55">
        <f t="shared" si="7"/>
        <v>399</v>
      </c>
      <c r="P30" s="67">
        <f t="shared" si="8"/>
        <v>0</v>
      </c>
      <c r="Q30" s="68">
        <f t="shared" si="9"/>
        <v>0</v>
      </c>
    </row>
    <row r="31" spans="1:17" ht="33.75" customHeight="1">
      <c r="A31" s="84" t="str">
        <f>'DIA 15'!A31</f>
        <v>ST-060</v>
      </c>
      <c r="B31" s="24"/>
      <c r="C31" s="62"/>
      <c r="D31" s="57"/>
      <c r="E31" s="13"/>
      <c r="F31" s="12"/>
      <c r="G31" s="28"/>
      <c r="H31" s="42"/>
      <c r="I31" s="26"/>
      <c r="J31" s="15"/>
      <c r="K31" s="13"/>
      <c r="L31" s="13"/>
      <c r="M31" s="13"/>
      <c r="N31" s="37"/>
      <c r="O31" s="55">
        <f t="shared" si="7"/>
        <v>0</v>
      </c>
      <c r="P31" s="67">
        <f t="shared" si="8"/>
        <v>0</v>
      </c>
      <c r="Q31" s="68">
        <f t="shared" si="9"/>
        <v>0</v>
      </c>
    </row>
    <row r="32" spans="1:17" ht="33.75" customHeight="1">
      <c r="A32" s="84" t="str">
        <f>'DIA 15'!A32</f>
        <v>ST-53</v>
      </c>
      <c r="B32" s="24"/>
      <c r="C32" s="63"/>
      <c r="D32" s="73"/>
      <c r="E32" s="9"/>
      <c r="F32" s="12"/>
      <c r="G32" s="29"/>
      <c r="H32" s="42"/>
      <c r="I32" s="26"/>
      <c r="J32" s="8"/>
      <c r="K32" s="9"/>
      <c r="L32" s="9"/>
      <c r="M32" s="9"/>
      <c r="N32" s="37"/>
      <c r="O32" s="55">
        <f t="shared" si="7"/>
        <v>0</v>
      </c>
      <c r="P32" s="67">
        <f t="shared" si="8"/>
        <v>0</v>
      </c>
      <c r="Q32" s="68">
        <f t="shared" si="9"/>
        <v>0</v>
      </c>
    </row>
    <row r="33" spans="1:21" ht="33.75" customHeight="1">
      <c r="A33" s="84" t="str">
        <f>'DIA 15'!A33</f>
        <v>ST-039</v>
      </c>
      <c r="B33" s="24">
        <v>95423</v>
      </c>
      <c r="C33" s="64">
        <v>214</v>
      </c>
      <c r="D33" s="150" t="s">
        <v>105</v>
      </c>
      <c r="E33" s="19" t="s">
        <v>106</v>
      </c>
      <c r="F33" s="12"/>
      <c r="G33" s="31"/>
      <c r="H33" s="43"/>
      <c r="I33" s="26"/>
      <c r="J33" s="18"/>
      <c r="K33" s="76"/>
      <c r="L33" s="76"/>
      <c r="M33" s="19"/>
      <c r="N33" s="41"/>
      <c r="O33" s="55">
        <f t="shared" si="6"/>
        <v>214</v>
      </c>
      <c r="P33" s="67">
        <f t="shared" si="1"/>
        <v>-95423</v>
      </c>
      <c r="Q33" s="68">
        <f t="shared" si="2"/>
        <v>0</v>
      </c>
    </row>
    <row r="34" spans="1:21" ht="33.75" customHeight="1" thickBot="1">
      <c r="A34" s="84" t="str">
        <f>'DIA 15'!A34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 t="shared" si="6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1091</v>
      </c>
      <c r="D35" s="10"/>
      <c r="E35" s="11"/>
      <c r="F35" s="11"/>
      <c r="G35" s="11"/>
      <c r="H35" s="11"/>
      <c r="I35" s="11"/>
      <c r="J35" s="59">
        <f>SUM(J7:J34)</f>
        <v>332</v>
      </c>
      <c r="K35" s="50"/>
      <c r="L35" s="50"/>
      <c r="M35" s="49"/>
      <c r="N35" s="49"/>
      <c r="O35" s="85">
        <f>C35+J35</f>
        <v>1423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Q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73" priority="1" operator="containsText" text="NO TRABAJO">
      <formula>NOT(ISERROR(SEARCH("NO TRABAJO",O7)))</formula>
    </cfRule>
    <cfRule type="containsText" dxfId="72" priority="2" operator="containsText" text="FUERA DE SERVICIO">
      <formula>NOT(ISERROR(SEARCH("FUERA DE SERVICIO",O7)))</formula>
    </cfRule>
    <cfRule type="containsText" dxfId="71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4C98-6A13-4CB5-8C7E-67FDFA218E99}">
  <sheetPr>
    <pageSetUpPr fitToPage="1"/>
  </sheetPr>
  <dimension ref="A1:U56"/>
  <sheetViews>
    <sheetView showGridLines="0" view="pageBreakPreview" topLeftCell="A19" zoomScale="50" zoomScaleNormal="100" zoomScaleSheetLayoutView="50" workbookViewId="0">
      <selection activeCell="M31" sqref="M31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16'!Q2+O2</f>
        <v>9208</v>
      </c>
      <c r="Q2" s="160">
        <f>P2-O35</f>
        <v>7374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64"/>
      <c r="P4" s="165"/>
      <c r="Q4" s="166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2"/>
      <c r="P5" s="193"/>
      <c r="Q5" s="194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16'!O6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16'!A7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16'!A8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34" si="3">J8+C8</f>
        <v>0</v>
      </c>
      <c r="P8" s="67">
        <f t="shared" si="1"/>
        <v>0</v>
      </c>
      <c r="Q8" s="68">
        <f t="shared" si="2"/>
        <v>0</v>
      </c>
    </row>
    <row r="9" spans="1:17" ht="33.75" customHeight="1">
      <c r="A9" s="84" t="str">
        <f>'DIA 16'!A9</f>
        <v>ST-036 R1300</v>
      </c>
      <c r="B9" s="24">
        <v>9164</v>
      </c>
      <c r="C9" s="61">
        <v>80</v>
      </c>
      <c r="D9" s="72" t="s">
        <v>80</v>
      </c>
      <c r="E9" s="12" t="s">
        <v>89</v>
      </c>
      <c r="F9" s="12" t="s">
        <v>90</v>
      </c>
      <c r="G9" s="27"/>
      <c r="H9" s="42"/>
      <c r="I9" s="26">
        <v>1975.5</v>
      </c>
      <c r="J9" s="14">
        <v>86</v>
      </c>
      <c r="K9" s="12" t="s">
        <v>130</v>
      </c>
      <c r="L9" s="12" t="s">
        <v>106</v>
      </c>
      <c r="M9" s="12"/>
      <c r="N9" s="37"/>
      <c r="O9" s="55">
        <f t="shared" si="3"/>
        <v>166</v>
      </c>
      <c r="P9" s="67">
        <f t="shared" si="1"/>
        <v>-9164</v>
      </c>
      <c r="Q9" s="68">
        <f t="shared" si="2"/>
        <v>-1975.5</v>
      </c>
    </row>
    <row r="10" spans="1:17" ht="33.75" customHeight="1">
      <c r="A10" s="84" t="str">
        <f>'DIA 16'!A10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ref="O10:O16" si="4">J10+C10</f>
        <v>0</v>
      </c>
      <c r="P10" s="67">
        <f t="shared" ref="P10:P16" si="5">G10-B10</f>
        <v>0</v>
      </c>
      <c r="Q10" s="68">
        <f t="shared" ref="Q10:Q16" si="6">N10-I10</f>
        <v>0</v>
      </c>
    </row>
    <row r="11" spans="1:17" ht="33.75" customHeight="1">
      <c r="A11" s="84" t="str">
        <f>'DIA 16'!A11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4"/>
        <v>0</v>
      </c>
      <c r="P11" s="67">
        <f t="shared" si="5"/>
        <v>0</v>
      </c>
      <c r="Q11" s="68">
        <f t="shared" si="6"/>
        <v>0</v>
      </c>
    </row>
    <row r="12" spans="1:17" ht="33.75" customHeight="1">
      <c r="A12" s="84" t="str">
        <f>'DIA 16'!A12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>
        <v>51</v>
      </c>
      <c r="K12" s="12" t="s">
        <v>115</v>
      </c>
      <c r="L12" s="12" t="s">
        <v>106</v>
      </c>
      <c r="M12" s="12"/>
      <c r="N12" s="37"/>
      <c r="O12" s="55">
        <f t="shared" si="4"/>
        <v>51</v>
      </c>
      <c r="P12" s="67">
        <f t="shared" si="5"/>
        <v>0</v>
      </c>
      <c r="Q12" s="68">
        <f t="shared" si="6"/>
        <v>0</v>
      </c>
    </row>
    <row r="13" spans="1:17" ht="33.75" customHeight="1">
      <c r="A13" s="84" t="str">
        <f>'DIA 16'!A13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4"/>
        <v>0</v>
      </c>
      <c r="P13" s="67">
        <f t="shared" si="5"/>
        <v>0</v>
      </c>
      <c r="Q13" s="68">
        <f t="shared" si="6"/>
        <v>0</v>
      </c>
    </row>
    <row r="14" spans="1:17" ht="33.75" customHeight="1">
      <c r="A14" s="84" t="str">
        <f>'DIA 16'!A14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4"/>
        <v>0</v>
      </c>
      <c r="P14" s="67">
        <f t="shared" si="5"/>
        <v>0</v>
      </c>
      <c r="Q14" s="68">
        <f t="shared" si="6"/>
        <v>0</v>
      </c>
    </row>
    <row r="15" spans="1:17" ht="33.75" customHeight="1">
      <c r="A15" s="84" t="str">
        <f>'DIA 16'!A15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si="4"/>
        <v>0</v>
      </c>
      <c r="P15" s="67">
        <f t="shared" si="5"/>
        <v>0</v>
      </c>
      <c r="Q15" s="68">
        <f t="shared" si="6"/>
        <v>0</v>
      </c>
    </row>
    <row r="16" spans="1:17" ht="33.75" customHeight="1">
      <c r="A16" s="84" t="str">
        <f>'DIA 16'!A16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4"/>
        <v>0</v>
      </c>
      <c r="P16" s="67">
        <f t="shared" si="5"/>
        <v>0</v>
      </c>
      <c r="Q16" s="68">
        <f t="shared" si="6"/>
        <v>0</v>
      </c>
    </row>
    <row r="17" spans="1:17" ht="33.75" customHeight="1">
      <c r="A17" s="84" t="str">
        <f>'DIA 16'!A17</f>
        <v>RE-009 (RETROEXCAVADORA)</v>
      </c>
      <c r="B17" s="24"/>
      <c r="C17" s="61"/>
      <c r="D17" s="72"/>
      <c r="E17" s="12"/>
      <c r="F17" s="12"/>
      <c r="G17" s="27"/>
      <c r="H17" s="42"/>
      <c r="I17" s="26">
        <v>6783</v>
      </c>
      <c r="J17" s="14">
        <v>69</v>
      </c>
      <c r="K17" s="12" t="s">
        <v>108</v>
      </c>
      <c r="L17" s="12" t="s">
        <v>106</v>
      </c>
      <c r="M17" s="12"/>
      <c r="N17" s="37"/>
      <c r="O17" s="55">
        <f t="shared" ref="O17:O30" si="7">J17+C17</f>
        <v>69</v>
      </c>
      <c r="P17" s="67">
        <f t="shared" ref="P17:P30" si="8">G17-B17</f>
        <v>0</v>
      </c>
      <c r="Q17" s="68">
        <f t="shared" ref="Q17:Q30" si="9">N17-I17</f>
        <v>-6783</v>
      </c>
    </row>
    <row r="18" spans="1:17" ht="33.75" customHeight="1">
      <c r="A18" s="84" t="str">
        <f>'DIA 16'!A18</f>
        <v>RE-010 (RETROEXCAVADORA)</v>
      </c>
      <c r="B18" s="24"/>
      <c r="C18" s="61"/>
      <c r="D18" s="72"/>
      <c r="E18" s="12"/>
      <c r="F18" s="12"/>
      <c r="G18" s="27"/>
      <c r="H18" s="42"/>
      <c r="I18" s="26"/>
      <c r="J18" s="14"/>
      <c r="K18" s="12"/>
      <c r="L18" s="12"/>
      <c r="M18" s="12"/>
      <c r="N18" s="37"/>
      <c r="O18" s="55">
        <f t="shared" si="7"/>
        <v>0</v>
      </c>
      <c r="P18" s="67">
        <f t="shared" si="8"/>
        <v>0</v>
      </c>
      <c r="Q18" s="68">
        <f t="shared" si="9"/>
        <v>0</v>
      </c>
    </row>
    <row r="19" spans="1:17" ht="33.75" customHeight="1">
      <c r="A19" s="84" t="str">
        <f>'DIA 16'!A19</f>
        <v>ZN</v>
      </c>
      <c r="B19" s="24"/>
      <c r="C19" s="61"/>
      <c r="D19" s="72"/>
      <c r="E19" s="12"/>
      <c r="F19" s="12"/>
      <c r="G19" s="27"/>
      <c r="H19" s="42"/>
      <c r="I19" s="26"/>
      <c r="J19" s="14"/>
      <c r="K19" s="12"/>
      <c r="L19" s="12"/>
      <c r="M19" s="12"/>
      <c r="N19" s="37"/>
      <c r="O19" s="55">
        <f t="shared" si="7"/>
        <v>0</v>
      </c>
      <c r="P19" s="67">
        <f t="shared" si="8"/>
        <v>0</v>
      </c>
      <c r="Q19" s="68">
        <f t="shared" si="9"/>
        <v>0</v>
      </c>
    </row>
    <row r="20" spans="1:17" ht="33.75" customHeight="1">
      <c r="A20" s="84" t="str">
        <f>'DIA 16'!A20</f>
        <v>CBP-001 (BAJO PERFIL)</v>
      </c>
      <c r="B20" s="24"/>
      <c r="C20" s="61"/>
      <c r="D20" s="72"/>
      <c r="E20" s="12"/>
      <c r="F20" s="12"/>
      <c r="G20" s="27"/>
      <c r="H20" s="42"/>
      <c r="I20" s="26"/>
      <c r="J20" s="14"/>
      <c r="K20" s="12"/>
      <c r="L20" s="12"/>
      <c r="M20" s="12"/>
      <c r="N20" s="37"/>
      <c r="O20" s="55">
        <f t="shared" si="7"/>
        <v>0</v>
      </c>
      <c r="P20" s="67">
        <f t="shared" si="8"/>
        <v>0</v>
      </c>
      <c r="Q20" s="68">
        <f t="shared" si="9"/>
        <v>0</v>
      </c>
    </row>
    <row r="21" spans="1:17" ht="33.75" customHeight="1">
      <c r="A21" s="84" t="str">
        <f>'DIA 16'!A21</f>
        <v>MG-105</v>
      </c>
      <c r="B21" s="24"/>
      <c r="C21" s="61"/>
      <c r="D21" s="72"/>
      <c r="E21" s="12"/>
      <c r="F21" s="12"/>
      <c r="G21" s="27"/>
      <c r="H21" s="42"/>
      <c r="I21" s="26"/>
      <c r="J21" s="14"/>
      <c r="K21" s="12"/>
      <c r="L21" s="12"/>
      <c r="M21" s="12"/>
      <c r="N21" s="37"/>
      <c r="O21" s="55">
        <f t="shared" si="7"/>
        <v>0</v>
      </c>
      <c r="P21" s="67">
        <f t="shared" si="8"/>
        <v>0</v>
      </c>
      <c r="Q21" s="68">
        <f t="shared" si="9"/>
        <v>0</v>
      </c>
    </row>
    <row r="22" spans="1:17" ht="33.75" customHeight="1">
      <c r="A22" s="84" t="str">
        <f>'DIA 16'!A22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7"/>
        <v>0</v>
      </c>
      <c r="P22" s="67">
        <f t="shared" si="8"/>
        <v>0</v>
      </c>
      <c r="Q22" s="68">
        <f t="shared" si="9"/>
        <v>0</v>
      </c>
    </row>
    <row r="23" spans="1:17" ht="33.75" customHeight="1">
      <c r="A23" s="84" t="str">
        <f>'DIA 16'!A23</f>
        <v>MG-085 (POLVORERA)</v>
      </c>
      <c r="B23" s="24">
        <v>47821</v>
      </c>
      <c r="C23" s="60">
        <v>156</v>
      </c>
      <c r="D23" s="71" t="s">
        <v>129</v>
      </c>
      <c r="E23" s="12" t="s">
        <v>89</v>
      </c>
      <c r="F23" s="12" t="s">
        <v>90</v>
      </c>
      <c r="G23" s="25"/>
      <c r="H23" s="42"/>
      <c r="I23" s="26"/>
      <c r="J23" s="16"/>
      <c r="K23" s="12"/>
      <c r="L23" s="12"/>
      <c r="M23" s="12"/>
      <c r="N23" s="37"/>
      <c r="O23" s="55">
        <f t="shared" si="7"/>
        <v>156</v>
      </c>
      <c r="P23" s="67">
        <f t="shared" si="8"/>
        <v>-47821</v>
      </c>
      <c r="Q23" s="68">
        <f t="shared" si="9"/>
        <v>0</v>
      </c>
    </row>
    <row r="24" spans="1:17" ht="33.75" customHeight="1">
      <c r="A24" s="84" t="str">
        <f>'DIA 16'!A24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7"/>
        <v>0</v>
      </c>
      <c r="P24" s="67">
        <f t="shared" si="8"/>
        <v>0</v>
      </c>
      <c r="Q24" s="68">
        <f t="shared" si="9"/>
        <v>0</v>
      </c>
    </row>
    <row r="25" spans="1:17" ht="33.75" customHeight="1">
      <c r="A25" s="84" t="str">
        <f>'DIA 16'!A25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7"/>
        <v>0</v>
      </c>
      <c r="P25" s="67">
        <f t="shared" si="8"/>
        <v>0</v>
      </c>
      <c r="Q25" s="68">
        <f t="shared" si="9"/>
        <v>0</v>
      </c>
    </row>
    <row r="26" spans="1:17" ht="33.75" customHeight="1">
      <c r="A26" s="84" t="str">
        <f>'DIA 16'!A26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7"/>
        <v>0</v>
      </c>
      <c r="P26" s="67">
        <f t="shared" si="8"/>
        <v>0</v>
      </c>
      <c r="Q26" s="68">
        <f t="shared" si="9"/>
        <v>0</v>
      </c>
    </row>
    <row r="27" spans="1:17" ht="33.75" customHeight="1">
      <c r="A27" s="84" t="str">
        <f>'DIA 16'!A27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37"/>
      <c r="O27" s="55">
        <f t="shared" si="7"/>
        <v>0</v>
      </c>
      <c r="P27" s="67">
        <f t="shared" si="8"/>
        <v>0</v>
      </c>
      <c r="Q27" s="68">
        <f t="shared" si="9"/>
        <v>0</v>
      </c>
    </row>
    <row r="28" spans="1:17" ht="33.75" customHeight="1">
      <c r="A28" s="84" t="str">
        <f>'DIA 16'!A28</f>
        <v>MG-111</v>
      </c>
      <c r="B28" s="24"/>
      <c r="C28" s="62"/>
      <c r="D28" s="57"/>
      <c r="E28" s="13"/>
      <c r="F28" s="12"/>
      <c r="G28" s="28"/>
      <c r="H28" s="42"/>
      <c r="I28" s="26"/>
      <c r="J28" s="15"/>
      <c r="K28" s="13"/>
      <c r="L28" s="13"/>
      <c r="M28" s="13"/>
      <c r="N28" s="37"/>
      <c r="O28" s="55">
        <f t="shared" si="7"/>
        <v>0</v>
      </c>
      <c r="P28" s="67">
        <f t="shared" si="8"/>
        <v>0</v>
      </c>
      <c r="Q28" s="68">
        <f t="shared" si="9"/>
        <v>0</v>
      </c>
    </row>
    <row r="29" spans="1:17" ht="33.75" customHeight="1">
      <c r="A29" s="84" t="str">
        <f>'DIA 16'!A29</f>
        <v>MG-120</v>
      </c>
      <c r="B29" s="24"/>
      <c r="C29" s="62"/>
      <c r="D29" s="57"/>
      <c r="E29" s="13"/>
      <c r="F29" s="12"/>
      <c r="G29" s="28"/>
      <c r="H29" s="42"/>
      <c r="I29" s="26"/>
      <c r="J29" s="15"/>
      <c r="K29" s="13"/>
      <c r="L29" s="13"/>
      <c r="M29" s="13"/>
      <c r="N29" s="37"/>
      <c r="O29" s="55">
        <f t="shared" si="7"/>
        <v>0</v>
      </c>
      <c r="P29" s="67">
        <f t="shared" si="8"/>
        <v>0</v>
      </c>
      <c r="Q29" s="68">
        <f t="shared" si="9"/>
        <v>0</v>
      </c>
    </row>
    <row r="30" spans="1:17" ht="33.75" customHeight="1">
      <c r="A30" s="84" t="str">
        <f>'DIA 16'!A30</f>
        <v>PROSERMIN</v>
      </c>
      <c r="B30" s="24"/>
      <c r="C30" s="62">
        <v>750</v>
      </c>
      <c r="D30" s="57"/>
      <c r="E30" s="13"/>
      <c r="F30" s="12"/>
      <c r="G30" s="28"/>
      <c r="H30" s="42"/>
      <c r="I30" s="26"/>
      <c r="J30" s="15">
        <v>102</v>
      </c>
      <c r="K30" s="13"/>
      <c r="L30" s="13"/>
      <c r="M30" s="13"/>
      <c r="N30" s="37"/>
      <c r="O30" s="55">
        <f t="shared" si="7"/>
        <v>852</v>
      </c>
      <c r="P30" s="67">
        <f t="shared" si="8"/>
        <v>0</v>
      </c>
      <c r="Q30" s="68">
        <f t="shared" si="9"/>
        <v>0</v>
      </c>
    </row>
    <row r="31" spans="1:17" ht="33.75" customHeight="1">
      <c r="A31" s="84" t="str">
        <f>'DIA 16'!A31</f>
        <v>ST-060</v>
      </c>
      <c r="B31" s="24"/>
      <c r="C31" s="62"/>
      <c r="D31" s="57"/>
      <c r="E31" s="13"/>
      <c r="F31" s="12"/>
      <c r="G31" s="28"/>
      <c r="H31" s="42"/>
      <c r="I31" s="26"/>
      <c r="J31" s="15"/>
      <c r="K31" s="13"/>
      <c r="L31" s="13"/>
      <c r="M31" s="13"/>
      <c r="N31" s="37"/>
      <c r="O31" s="55">
        <f t="shared" si="3"/>
        <v>0</v>
      </c>
      <c r="P31" s="67">
        <f t="shared" ref="P31:P33" si="10">G31-B31</f>
        <v>0</v>
      </c>
      <c r="Q31" s="68">
        <f t="shared" ref="Q31:Q33" si="11">N31-I31</f>
        <v>0</v>
      </c>
    </row>
    <row r="32" spans="1:17" ht="33.75" customHeight="1">
      <c r="A32" s="84" t="str">
        <f>'DIA 16'!A32</f>
        <v>ST-53</v>
      </c>
      <c r="B32" s="24"/>
      <c r="C32" s="62"/>
      <c r="D32" s="57"/>
      <c r="E32" s="13"/>
      <c r="F32" s="12"/>
      <c r="G32" s="28"/>
      <c r="H32" s="42"/>
      <c r="I32" s="26"/>
      <c r="J32" s="15"/>
      <c r="K32" s="13"/>
      <c r="L32" s="13"/>
      <c r="M32" s="13"/>
      <c r="N32" s="37"/>
      <c r="O32" s="55">
        <f t="shared" si="3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16'!A33</f>
        <v>ST-039</v>
      </c>
      <c r="B33" s="24">
        <v>9551.6</v>
      </c>
      <c r="C33" s="62">
        <v>229</v>
      </c>
      <c r="D33" s="57" t="s">
        <v>105</v>
      </c>
      <c r="E33" s="13" t="s">
        <v>89</v>
      </c>
      <c r="F33" s="12" t="s">
        <v>90</v>
      </c>
      <c r="G33" s="28"/>
      <c r="H33" s="43"/>
      <c r="I33" s="26">
        <v>9558</v>
      </c>
      <c r="J33" s="15">
        <v>267</v>
      </c>
      <c r="K33" s="13" t="s">
        <v>104</v>
      </c>
      <c r="L33" s="13" t="s">
        <v>106</v>
      </c>
      <c r="M33" s="13"/>
      <c r="N33" s="41"/>
      <c r="O33" s="55">
        <f t="shared" si="3"/>
        <v>496</v>
      </c>
      <c r="P33" s="67">
        <f t="shared" si="10"/>
        <v>-9551.6</v>
      </c>
      <c r="Q33" s="68">
        <f t="shared" si="11"/>
        <v>-9558</v>
      </c>
    </row>
    <row r="34" spans="1:21" ht="33.75" customHeight="1" thickBot="1">
      <c r="A34" s="84" t="str">
        <f>'DIA 16'!A34</f>
        <v>JL-025</v>
      </c>
      <c r="B34" s="32">
        <v>4189</v>
      </c>
      <c r="C34" s="65">
        <v>44</v>
      </c>
      <c r="D34" s="75" t="s">
        <v>97</v>
      </c>
      <c r="E34" s="34" t="s">
        <v>89</v>
      </c>
      <c r="F34" s="35" t="s">
        <v>90</v>
      </c>
      <c r="G34" s="36"/>
      <c r="H34" s="44"/>
      <c r="I34" s="39"/>
      <c r="J34" s="33"/>
      <c r="K34" s="34"/>
      <c r="L34" s="34"/>
      <c r="M34" s="34"/>
      <c r="N34" s="40"/>
      <c r="O34" s="55">
        <f t="shared" si="3"/>
        <v>44</v>
      </c>
      <c r="P34" s="69">
        <f t="shared" si="1"/>
        <v>-4189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1259</v>
      </c>
      <c r="D35" s="10"/>
      <c r="E35" s="11"/>
      <c r="F35" s="11"/>
      <c r="G35" s="11"/>
      <c r="H35" s="11"/>
      <c r="I35" s="11"/>
      <c r="J35" s="59">
        <f>SUM(J7:J34)</f>
        <v>575</v>
      </c>
      <c r="K35" s="50"/>
      <c r="L35" s="50"/>
      <c r="M35" s="49"/>
      <c r="N35" s="49"/>
      <c r="O35" s="85">
        <f>C35+J35</f>
        <v>1834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Q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70" priority="1" operator="containsText" text="NO TRABAJO">
      <formula>NOT(ISERROR(SEARCH("NO TRABAJO",O7)))</formula>
    </cfRule>
    <cfRule type="containsText" dxfId="69" priority="2" operator="containsText" text="FUERA DE SERVICIO">
      <formula>NOT(ISERROR(SEARCH("FUERA DE SERVICIO",O7)))</formula>
    </cfRule>
    <cfRule type="containsText" dxfId="68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CFDA-2F48-4C92-B754-6326A9C3D6BE}">
  <sheetPr>
    <pageSetUpPr fitToPage="1"/>
  </sheetPr>
  <dimension ref="A1:U56"/>
  <sheetViews>
    <sheetView showGridLines="0" view="pageBreakPreview" topLeftCell="A13" zoomScale="50" zoomScaleNormal="100" zoomScaleSheetLayoutView="50" workbookViewId="0">
      <selection activeCell="L27" sqref="L27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17'!Q2+O2</f>
        <v>7374</v>
      </c>
      <c r="Q2" s="160">
        <f>P2-O35</f>
        <v>5536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64"/>
      <c r="P4" s="165"/>
      <c r="Q4" s="166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2"/>
      <c r="P5" s="193"/>
      <c r="Q5" s="194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17'!O6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17'!A7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17'!A8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34" si="3">J8+C8</f>
        <v>0</v>
      </c>
      <c r="P8" s="67">
        <f t="shared" si="1"/>
        <v>0</v>
      </c>
      <c r="Q8" s="68">
        <f t="shared" si="2"/>
        <v>0</v>
      </c>
    </row>
    <row r="9" spans="1:17" ht="33.75" customHeight="1">
      <c r="A9" s="84" t="str">
        <f>'DIA 17'!A9</f>
        <v>ST-036 R1300</v>
      </c>
      <c r="B9" s="24">
        <v>9180</v>
      </c>
      <c r="C9" s="61">
        <v>217</v>
      </c>
      <c r="D9" s="72" t="s">
        <v>80</v>
      </c>
      <c r="E9" s="12" t="s">
        <v>89</v>
      </c>
      <c r="F9" s="12" t="s">
        <v>90</v>
      </c>
      <c r="G9" s="27"/>
      <c r="H9" s="42"/>
      <c r="I9" s="26">
        <v>91886</v>
      </c>
      <c r="J9" s="14">
        <v>173</v>
      </c>
      <c r="K9" s="12" t="s">
        <v>131</v>
      </c>
      <c r="L9" s="12" t="s">
        <v>106</v>
      </c>
      <c r="M9" s="12"/>
      <c r="N9" s="37"/>
      <c r="O9" s="55">
        <f t="shared" ref="O9:O18" si="4">J9+C9</f>
        <v>390</v>
      </c>
      <c r="P9" s="67">
        <f t="shared" ref="P9:P18" si="5">G9-B9</f>
        <v>-9180</v>
      </c>
      <c r="Q9" s="68">
        <f t="shared" ref="Q9:Q18" si="6">N9-I9</f>
        <v>-91886</v>
      </c>
    </row>
    <row r="10" spans="1:17" ht="33.75" customHeight="1">
      <c r="A10" s="84" t="str">
        <f>'DIA 17'!A10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si="4"/>
        <v>0</v>
      </c>
      <c r="P10" s="67">
        <f t="shared" si="5"/>
        <v>0</v>
      </c>
      <c r="Q10" s="68">
        <f t="shared" si="6"/>
        <v>0</v>
      </c>
    </row>
    <row r="11" spans="1:17" ht="33.75" customHeight="1">
      <c r="A11" s="84" t="str">
        <f>'DIA 17'!A11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4"/>
        <v>0</v>
      </c>
      <c r="P11" s="67">
        <f t="shared" si="5"/>
        <v>0</v>
      </c>
      <c r="Q11" s="68">
        <f t="shared" si="6"/>
        <v>0</v>
      </c>
    </row>
    <row r="12" spans="1:17" ht="33.75" customHeight="1">
      <c r="A12" s="84" t="str">
        <f>'DIA 17'!A12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4"/>
        <v>0</v>
      </c>
      <c r="P12" s="67">
        <f t="shared" si="5"/>
        <v>0</v>
      </c>
      <c r="Q12" s="68">
        <f t="shared" si="6"/>
        <v>0</v>
      </c>
    </row>
    <row r="13" spans="1:17" ht="33.75" customHeight="1">
      <c r="A13" s="84" t="str">
        <f>'DIA 17'!A13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4"/>
        <v>0</v>
      </c>
      <c r="P13" s="67">
        <f t="shared" si="5"/>
        <v>0</v>
      </c>
      <c r="Q13" s="68">
        <f t="shared" si="6"/>
        <v>0</v>
      </c>
    </row>
    <row r="14" spans="1:17" ht="33.75" customHeight="1">
      <c r="A14" s="84" t="str">
        <f>'DIA 17'!A14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4"/>
        <v>0</v>
      </c>
      <c r="P14" s="67">
        <f t="shared" si="5"/>
        <v>0</v>
      </c>
      <c r="Q14" s="68">
        <f t="shared" si="6"/>
        <v>0</v>
      </c>
    </row>
    <row r="15" spans="1:17" ht="33.75" customHeight="1">
      <c r="A15" s="84" t="str">
        <f>'DIA 17'!A15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si="4"/>
        <v>0</v>
      </c>
      <c r="P15" s="67">
        <f t="shared" si="5"/>
        <v>0</v>
      </c>
      <c r="Q15" s="68">
        <f t="shared" si="6"/>
        <v>0</v>
      </c>
    </row>
    <row r="16" spans="1:17" ht="33.75" customHeight="1">
      <c r="A16" s="84" t="str">
        <f>'DIA 17'!A16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4"/>
        <v>0</v>
      </c>
      <c r="P16" s="67">
        <f t="shared" si="5"/>
        <v>0</v>
      </c>
      <c r="Q16" s="68">
        <f t="shared" si="6"/>
        <v>0</v>
      </c>
    </row>
    <row r="17" spans="1:17" ht="33.75" customHeight="1">
      <c r="A17" s="84" t="str">
        <f>'DIA 17'!A17</f>
        <v>RE-009 (RETROEXCAVADORA)</v>
      </c>
      <c r="B17" s="24"/>
      <c r="C17" s="61"/>
      <c r="D17" s="72"/>
      <c r="E17" s="12"/>
      <c r="F17" s="12"/>
      <c r="G17" s="25"/>
      <c r="H17" s="42"/>
      <c r="I17" s="26">
        <v>67985</v>
      </c>
      <c r="J17" s="14">
        <v>41</v>
      </c>
      <c r="K17" s="12" t="s">
        <v>108</v>
      </c>
      <c r="L17" s="12" t="s">
        <v>106</v>
      </c>
      <c r="M17" s="12"/>
      <c r="N17" s="37"/>
      <c r="O17" s="55">
        <f t="shared" si="4"/>
        <v>41</v>
      </c>
      <c r="P17" s="67">
        <f t="shared" si="5"/>
        <v>0</v>
      </c>
      <c r="Q17" s="68">
        <f t="shared" si="6"/>
        <v>-67985</v>
      </c>
    </row>
    <row r="18" spans="1:17" ht="33.75" customHeight="1">
      <c r="A18" s="84" t="str">
        <f>'DIA 17'!A18</f>
        <v>RE-010 (RETROEXCAVADORA)</v>
      </c>
      <c r="B18" s="24"/>
      <c r="C18" s="60"/>
      <c r="D18" s="71"/>
      <c r="E18" s="12"/>
      <c r="F18" s="12"/>
      <c r="G18" s="25"/>
      <c r="H18" s="42"/>
      <c r="I18" s="26"/>
      <c r="J18" s="16"/>
      <c r="K18" s="12"/>
      <c r="L18" s="12"/>
      <c r="M18" s="12"/>
      <c r="N18" s="37"/>
      <c r="O18" s="55">
        <f t="shared" si="4"/>
        <v>0</v>
      </c>
      <c r="P18" s="67">
        <f t="shared" si="5"/>
        <v>0</v>
      </c>
      <c r="Q18" s="68">
        <f t="shared" si="6"/>
        <v>0</v>
      </c>
    </row>
    <row r="19" spans="1:17" ht="33.75" customHeight="1">
      <c r="A19" s="84" t="str">
        <f>'DIA 17'!A19</f>
        <v>ZN</v>
      </c>
      <c r="B19" s="24"/>
      <c r="C19" s="60"/>
      <c r="D19" s="71"/>
      <c r="E19" s="12"/>
      <c r="F19" s="12"/>
      <c r="G19" s="25"/>
      <c r="H19" s="42"/>
      <c r="I19" s="26"/>
      <c r="J19" s="16"/>
      <c r="K19" s="12"/>
      <c r="L19" s="12"/>
      <c r="M19" s="12"/>
      <c r="N19" s="37"/>
      <c r="O19" s="55">
        <f t="shared" ref="O19:O29" si="7">J19+C19</f>
        <v>0</v>
      </c>
      <c r="P19" s="67">
        <f t="shared" ref="P19:P29" si="8">G19-B19</f>
        <v>0</v>
      </c>
      <c r="Q19" s="68">
        <f t="shared" ref="Q19:Q29" si="9">N19-I19</f>
        <v>0</v>
      </c>
    </row>
    <row r="20" spans="1:17" ht="33.75" customHeight="1">
      <c r="A20" s="84" t="str">
        <f>'DIA 17'!A20</f>
        <v>CBP-001 (BAJO PERFIL)</v>
      </c>
      <c r="B20" s="24">
        <v>48151</v>
      </c>
      <c r="C20" s="60">
        <v>131</v>
      </c>
      <c r="D20" s="71" t="s">
        <v>129</v>
      </c>
      <c r="E20" s="12" t="s">
        <v>89</v>
      </c>
      <c r="F20" s="12" t="s">
        <v>90</v>
      </c>
      <c r="G20" s="25"/>
      <c r="H20" s="42"/>
      <c r="I20" s="26">
        <v>49071</v>
      </c>
      <c r="J20" s="16">
        <v>92</v>
      </c>
      <c r="K20" s="12" t="s">
        <v>102</v>
      </c>
      <c r="L20" s="12" t="s">
        <v>106</v>
      </c>
      <c r="M20" s="12"/>
      <c r="N20" s="37"/>
      <c r="O20" s="55">
        <f t="shared" si="7"/>
        <v>223</v>
      </c>
      <c r="P20" s="67">
        <f t="shared" si="8"/>
        <v>-48151</v>
      </c>
      <c r="Q20" s="68">
        <f t="shared" si="9"/>
        <v>-49071</v>
      </c>
    </row>
    <row r="21" spans="1:17" ht="33.75" customHeight="1">
      <c r="A21" s="84" t="str">
        <f>'DIA 17'!A21</f>
        <v>MG-105</v>
      </c>
      <c r="B21" s="24"/>
      <c r="C21" s="60"/>
      <c r="D21" s="71"/>
      <c r="E21" s="12"/>
      <c r="F21" s="12"/>
      <c r="G21" s="25"/>
      <c r="H21" s="42"/>
      <c r="I21" s="26"/>
      <c r="J21" s="16"/>
      <c r="K21" s="12"/>
      <c r="L21" s="12"/>
      <c r="M21" s="12"/>
      <c r="N21" s="37"/>
      <c r="O21" s="55">
        <f t="shared" si="7"/>
        <v>0</v>
      </c>
      <c r="P21" s="67">
        <f t="shared" si="8"/>
        <v>0</v>
      </c>
      <c r="Q21" s="68">
        <f t="shared" si="9"/>
        <v>0</v>
      </c>
    </row>
    <row r="22" spans="1:17" ht="33.75" customHeight="1">
      <c r="A22" s="84" t="str">
        <f>'DIA 17'!A22</f>
        <v>MG-044</v>
      </c>
      <c r="B22" s="24"/>
      <c r="C22" s="60"/>
      <c r="D22" s="71"/>
      <c r="E22" s="12"/>
      <c r="F22" s="12"/>
      <c r="G22" s="25"/>
      <c r="H22" s="42"/>
      <c r="I22" s="26"/>
      <c r="J22" s="16"/>
      <c r="K22" s="12"/>
      <c r="L22" s="12"/>
      <c r="M22" s="12"/>
      <c r="N22" s="37"/>
      <c r="O22" s="55">
        <f t="shared" si="7"/>
        <v>0</v>
      </c>
      <c r="P22" s="67">
        <f t="shared" si="8"/>
        <v>0</v>
      </c>
      <c r="Q22" s="68">
        <f t="shared" si="9"/>
        <v>0</v>
      </c>
    </row>
    <row r="23" spans="1:17" ht="33.75" customHeight="1">
      <c r="A23" s="84" t="str">
        <f>'DIA 17'!A23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7"/>
        <v>0</v>
      </c>
      <c r="P23" s="67">
        <f t="shared" si="8"/>
        <v>0</v>
      </c>
      <c r="Q23" s="68">
        <f t="shared" si="9"/>
        <v>0</v>
      </c>
    </row>
    <row r="24" spans="1:17" ht="33.75" customHeight="1">
      <c r="A24" s="84" t="str">
        <f>'DIA 17'!A24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7"/>
        <v>0</v>
      </c>
      <c r="P24" s="67">
        <f t="shared" si="8"/>
        <v>0</v>
      </c>
      <c r="Q24" s="68">
        <f t="shared" si="9"/>
        <v>0</v>
      </c>
    </row>
    <row r="25" spans="1:17" ht="33.75" customHeight="1">
      <c r="A25" s="84" t="str">
        <f>'DIA 17'!A25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7"/>
        <v>0</v>
      </c>
      <c r="P25" s="67">
        <f t="shared" si="8"/>
        <v>0</v>
      </c>
      <c r="Q25" s="68">
        <f t="shared" si="9"/>
        <v>0</v>
      </c>
    </row>
    <row r="26" spans="1:17" ht="33.75" customHeight="1">
      <c r="A26" s="84" t="str">
        <f>'DIA 17'!A26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7"/>
        <v>0</v>
      </c>
      <c r="P26" s="67">
        <f t="shared" si="8"/>
        <v>0</v>
      </c>
      <c r="Q26" s="68">
        <f t="shared" si="9"/>
        <v>0</v>
      </c>
    </row>
    <row r="27" spans="1:17" ht="33.75" customHeight="1">
      <c r="A27" s="84" t="str">
        <f>'DIA 17'!A27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41"/>
      <c r="O27" s="55">
        <f t="shared" si="7"/>
        <v>0</v>
      </c>
      <c r="P27" s="67">
        <f t="shared" si="8"/>
        <v>0</v>
      </c>
      <c r="Q27" s="68">
        <f t="shared" si="9"/>
        <v>0</v>
      </c>
    </row>
    <row r="28" spans="1:17" ht="33.75" customHeight="1">
      <c r="A28" s="84" t="str">
        <f>'DIA 17'!A28</f>
        <v>MG-111</v>
      </c>
      <c r="B28" s="24"/>
      <c r="C28" s="62"/>
      <c r="D28" s="57"/>
      <c r="E28" s="13"/>
      <c r="F28" s="12"/>
      <c r="G28" s="28"/>
      <c r="H28" s="42"/>
      <c r="I28" s="26"/>
      <c r="J28" s="16"/>
      <c r="K28" s="17"/>
      <c r="L28" s="17"/>
      <c r="M28" s="17"/>
      <c r="N28" s="37"/>
      <c r="O28" s="55">
        <f t="shared" si="7"/>
        <v>0</v>
      </c>
      <c r="P28" s="67">
        <f t="shared" si="8"/>
        <v>0</v>
      </c>
      <c r="Q28" s="68">
        <f t="shared" si="9"/>
        <v>0</v>
      </c>
    </row>
    <row r="29" spans="1:17" ht="33.75" customHeight="1">
      <c r="A29" s="84" t="str">
        <f>'DIA 17'!A29</f>
        <v>MG-120</v>
      </c>
      <c r="B29" s="24"/>
      <c r="C29" s="62"/>
      <c r="D29" s="57"/>
      <c r="E29" s="13"/>
      <c r="F29" s="12"/>
      <c r="G29" s="28"/>
      <c r="H29" s="42"/>
      <c r="I29" s="26"/>
      <c r="J29" s="16"/>
      <c r="K29" s="13"/>
      <c r="L29" s="13"/>
      <c r="M29" s="13"/>
      <c r="N29" s="41"/>
      <c r="O29" s="55">
        <f t="shared" si="7"/>
        <v>0</v>
      </c>
      <c r="P29" s="67">
        <f t="shared" si="8"/>
        <v>0</v>
      </c>
      <c r="Q29" s="68">
        <f t="shared" si="9"/>
        <v>0</v>
      </c>
    </row>
    <row r="30" spans="1:17" ht="33.75" customHeight="1">
      <c r="A30" s="84" t="str">
        <f>'DIA 17'!A30</f>
        <v>PROSERMIN</v>
      </c>
      <c r="B30" s="24"/>
      <c r="C30" s="62">
        <v>567</v>
      </c>
      <c r="D30" s="57"/>
      <c r="E30" s="13"/>
      <c r="F30" s="12"/>
      <c r="G30" s="28"/>
      <c r="H30" s="42"/>
      <c r="I30" s="26"/>
      <c r="J30" s="16">
        <v>246</v>
      </c>
      <c r="K30" s="17"/>
      <c r="L30" s="17"/>
      <c r="M30" s="17"/>
      <c r="N30" s="37"/>
      <c r="O30" s="55">
        <f t="shared" si="3"/>
        <v>813</v>
      </c>
      <c r="P30" s="67">
        <f t="shared" ref="P30:P33" si="10">G30-B30</f>
        <v>0</v>
      </c>
      <c r="Q30" s="68">
        <f t="shared" ref="Q30:Q33" si="11">N30-I30</f>
        <v>0</v>
      </c>
    </row>
    <row r="31" spans="1:17" ht="33.75" customHeight="1">
      <c r="A31" s="84" t="str">
        <f>'DIA 17'!A31</f>
        <v>ST-060</v>
      </c>
      <c r="B31" s="24"/>
      <c r="C31" s="62"/>
      <c r="D31" s="57"/>
      <c r="E31" s="13"/>
      <c r="F31" s="12"/>
      <c r="G31" s="28"/>
      <c r="H31" s="42"/>
      <c r="I31" s="26"/>
      <c r="J31" s="16"/>
      <c r="K31" s="13"/>
      <c r="L31" s="13"/>
      <c r="M31" s="13"/>
      <c r="N31" s="41"/>
      <c r="O31" s="55">
        <f t="shared" si="3"/>
        <v>0</v>
      </c>
      <c r="P31" s="67">
        <f t="shared" si="10"/>
        <v>0</v>
      </c>
      <c r="Q31" s="68">
        <f t="shared" si="11"/>
        <v>0</v>
      </c>
    </row>
    <row r="32" spans="1:17" ht="33.75" customHeight="1">
      <c r="A32" s="84" t="str">
        <f>'DIA 17'!A32</f>
        <v>ST-53</v>
      </c>
      <c r="B32" s="24"/>
      <c r="C32" s="62"/>
      <c r="D32" s="57"/>
      <c r="E32" s="13"/>
      <c r="F32" s="12"/>
      <c r="G32" s="28"/>
      <c r="H32" s="42"/>
      <c r="I32" s="26"/>
      <c r="J32" s="16"/>
      <c r="K32" s="17"/>
      <c r="L32" s="17"/>
      <c r="M32" s="17"/>
      <c r="N32" s="37"/>
      <c r="O32" s="55">
        <f t="shared" si="3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17'!A33</f>
        <v>ST-039</v>
      </c>
      <c r="B33" s="24">
        <v>9576.6</v>
      </c>
      <c r="C33" s="62">
        <v>210</v>
      </c>
      <c r="D33" s="57" t="s">
        <v>105</v>
      </c>
      <c r="E33" s="13" t="s">
        <v>89</v>
      </c>
      <c r="F33" s="12" t="s">
        <v>90</v>
      </c>
      <c r="G33" s="28"/>
      <c r="H33" s="43"/>
      <c r="I33" s="26">
        <v>95861</v>
      </c>
      <c r="J33" s="16">
        <v>161</v>
      </c>
      <c r="K33" s="13" t="s">
        <v>104</v>
      </c>
      <c r="L33" s="13" t="s">
        <v>106</v>
      </c>
      <c r="M33" s="13"/>
      <c r="N33" s="41"/>
      <c r="O33" s="55">
        <f t="shared" si="3"/>
        <v>371</v>
      </c>
      <c r="P33" s="67">
        <f t="shared" si="10"/>
        <v>-9576.6</v>
      </c>
      <c r="Q33" s="68">
        <f t="shared" si="11"/>
        <v>-95861</v>
      </c>
    </row>
    <row r="34" spans="1:21" ht="33.75" customHeight="1" thickBot="1">
      <c r="A34" s="84" t="str">
        <f>'DIA 17'!A34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 t="shared" si="3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1125</v>
      </c>
      <c r="D35" s="10"/>
      <c r="E35" s="11"/>
      <c r="F35" s="11"/>
      <c r="G35" s="11"/>
      <c r="H35" s="11"/>
      <c r="I35" s="11"/>
      <c r="J35" s="59">
        <f>SUM(J7:J34)</f>
        <v>713</v>
      </c>
      <c r="K35" s="50"/>
      <c r="L35" s="50"/>
      <c r="M35" s="49"/>
      <c r="N35" s="49"/>
      <c r="O35" s="85">
        <f>C35+J35</f>
        <v>1838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Q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67" priority="1" operator="containsText" text="NO TRABAJO">
      <formula>NOT(ISERROR(SEARCH("NO TRABAJO",O7)))</formula>
    </cfRule>
    <cfRule type="containsText" dxfId="66" priority="2" operator="containsText" text="FUERA DE SERVICIO">
      <formula>NOT(ISERROR(SEARCH("FUERA DE SERVICIO",O7)))</formula>
    </cfRule>
    <cfRule type="containsText" dxfId="65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754D-E817-4771-9A04-E27C35FB0278}">
  <sheetPr>
    <pageSetUpPr fitToPage="1"/>
  </sheetPr>
  <dimension ref="A1:U56"/>
  <sheetViews>
    <sheetView showGridLines="0" view="pageBreakPreview" topLeftCell="A16" zoomScale="50" zoomScaleNormal="100" zoomScaleSheetLayoutView="50" workbookViewId="0">
      <selection activeCell="J21" sqref="J21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>
        <v>1700</v>
      </c>
      <c r="P2" s="187">
        <f>'DIA 18'!Q2+O2</f>
        <v>7236</v>
      </c>
      <c r="Q2" s="160">
        <f>P2-O35</f>
        <v>6074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64"/>
      <c r="P4" s="165"/>
      <c r="Q4" s="166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2"/>
      <c r="P5" s="193"/>
      <c r="Q5" s="194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18'!O6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18'!A7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18'!A8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34" si="3">J8+C8</f>
        <v>0</v>
      </c>
      <c r="P8" s="67">
        <f t="shared" si="1"/>
        <v>0</v>
      </c>
      <c r="Q8" s="68">
        <f t="shared" si="2"/>
        <v>0</v>
      </c>
    </row>
    <row r="9" spans="1:17" ht="33.75" customHeight="1">
      <c r="A9" s="84" t="str">
        <f>'DIA 18'!A9</f>
        <v>ST-036 R1300</v>
      </c>
      <c r="B9" s="24">
        <v>9192</v>
      </c>
      <c r="C9" s="61">
        <v>120</v>
      </c>
      <c r="D9" s="72"/>
      <c r="E9" s="12" t="s">
        <v>89</v>
      </c>
      <c r="F9" s="12"/>
      <c r="G9" s="27"/>
      <c r="H9" s="42"/>
      <c r="I9" s="26">
        <v>92049</v>
      </c>
      <c r="J9" s="14">
        <v>159</v>
      </c>
      <c r="K9" s="12" t="s">
        <v>133</v>
      </c>
      <c r="L9" s="12" t="s">
        <v>106</v>
      </c>
      <c r="M9" s="12"/>
      <c r="N9" s="37"/>
      <c r="O9" s="55">
        <f t="shared" ref="O9:O26" si="4">J9+C9</f>
        <v>279</v>
      </c>
      <c r="P9" s="67">
        <f t="shared" ref="P9:P26" si="5">G9-B9</f>
        <v>-9192</v>
      </c>
      <c r="Q9" s="68">
        <f t="shared" ref="Q9:Q26" si="6">N9-I9</f>
        <v>-92049</v>
      </c>
    </row>
    <row r="10" spans="1:17" ht="33.75" customHeight="1">
      <c r="A10" s="84" t="str">
        <f>'DIA 18'!A10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si="4"/>
        <v>0</v>
      </c>
      <c r="P10" s="67">
        <f t="shared" si="5"/>
        <v>0</v>
      </c>
      <c r="Q10" s="68">
        <f t="shared" si="6"/>
        <v>0</v>
      </c>
    </row>
    <row r="11" spans="1:17" ht="33.75" customHeight="1">
      <c r="A11" s="84" t="str">
        <f>'DIA 18'!A11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4"/>
        <v>0</v>
      </c>
      <c r="P11" s="67">
        <f t="shared" si="5"/>
        <v>0</v>
      </c>
      <c r="Q11" s="68">
        <f t="shared" si="6"/>
        <v>0</v>
      </c>
    </row>
    <row r="12" spans="1:17" ht="33.75" customHeight="1">
      <c r="A12" s="84" t="str">
        <f>'DIA 18'!A12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4"/>
        <v>0</v>
      </c>
      <c r="P12" s="67">
        <f t="shared" si="5"/>
        <v>0</v>
      </c>
      <c r="Q12" s="68">
        <f t="shared" si="6"/>
        <v>0</v>
      </c>
    </row>
    <row r="13" spans="1:17" ht="33.75" customHeight="1">
      <c r="A13" s="84" t="str">
        <f>'DIA 18'!A13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4"/>
        <v>0</v>
      </c>
      <c r="P13" s="67">
        <f t="shared" si="5"/>
        <v>0</v>
      </c>
      <c r="Q13" s="68">
        <f t="shared" si="6"/>
        <v>0</v>
      </c>
    </row>
    <row r="14" spans="1:17" ht="33.75" customHeight="1">
      <c r="A14" s="84" t="str">
        <f>'DIA 18'!A14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4"/>
        <v>0</v>
      </c>
      <c r="P14" s="67">
        <f t="shared" si="5"/>
        <v>0</v>
      </c>
      <c r="Q14" s="68">
        <f t="shared" si="6"/>
        <v>0</v>
      </c>
    </row>
    <row r="15" spans="1:17" ht="33.75" customHeight="1">
      <c r="A15" s="84" t="str">
        <f>'DIA 18'!A15</f>
        <v>JA-007 RESEMIN</v>
      </c>
      <c r="B15" s="24">
        <v>7836</v>
      </c>
      <c r="C15" s="61">
        <v>49</v>
      </c>
      <c r="D15" s="72" t="s">
        <v>83</v>
      </c>
      <c r="E15" s="12" t="s">
        <v>89</v>
      </c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si="4"/>
        <v>49</v>
      </c>
      <c r="P15" s="67">
        <f t="shared" si="5"/>
        <v>-7836</v>
      </c>
      <c r="Q15" s="68">
        <f t="shared" si="6"/>
        <v>0</v>
      </c>
    </row>
    <row r="16" spans="1:17" ht="33.75" customHeight="1">
      <c r="A16" s="84" t="str">
        <f>'DIA 18'!A16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4"/>
        <v>0</v>
      </c>
      <c r="P16" s="67">
        <f t="shared" si="5"/>
        <v>0</v>
      </c>
      <c r="Q16" s="68">
        <f t="shared" si="6"/>
        <v>0</v>
      </c>
    </row>
    <row r="17" spans="1:17" ht="33.75" customHeight="1">
      <c r="A17" s="84" t="str">
        <f>'DIA 18'!A17</f>
        <v>RE-009 (RETROEXCAVADORA)</v>
      </c>
      <c r="B17" s="24"/>
      <c r="C17" s="61"/>
      <c r="D17" s="72"/>
      <c r="E17" s="12"/>
      <c r="F17" s="12"/>
      <c r="G17" s="25"/>
      <c r="H17" s="42"/>
      <c r="I17" s="26">
        <v>6813</v>
      </c>
      <c r="J17" s="14">
        <v>49</v>
      </c>
      <c r="K17" s="12" t="s">
        <v>108</v>
      </c>
      <c r="L17" s="12"/>
      <c r="M17" s="12"/>
      <c r="N17" s="37"/>
      <c r="O17" s="55">
        <f t="shared" si="4"/>
        <v>49</v>
      </c>
      <c r="P17" s="67">
        <f t="shared" si="5"/>
        <v>0</v>
      </c>
      <c r="Q17" s="68">
        <f t="shared" si="6"/>
        <v>-6813</v>
      </c>
    </row>
    <row r="18" spans="1:17" ht="33.75" customHeight="1">
      <c r="A18" s="84" t="str">
        <f>'DIA 18'!A18</f>
        <v>RE-010 (RETROEXCAVADORA)</v>
      </c>
      <c r="B18" s="24"/>
      <c r="C18" s="60"/>
      <c r="D18" s="71"/>
      <c r="E18" s="12"/>
      <c r="F18" s="12"/>
      <c r="G18" s="25"/>
      <c r="H18" s="42"/>
      <c r="I18" s="26"/>
      <c r="J18" s="16"/>
      <c r="K18" s="12"/>
      <c r="L18" s="12"/>
      <c r="M18" s="12"/>
      <c r="N18" s="37"/>
      <c r="O18" s="55">
        <f t="shared" si="4"/>
        <v>0</v>
      </c>
      <c r="P18" s="67">
        <f t="shared" si="5"/>
        <v>0</v>
      </c>
      <c r="Q18" s="68">
        <f t="shared" si="6"/>
        <v>0</v>
      </c>
    </row>
    <row r="19" spans="1:17" ht="33.75" customHeight="1">
      <c r="A19" s="84" t="str">
        <f>'DIA 18'!A19</f>
        <v>ZN</v>
      </c>
      <c r="B19" s="24"/>
      <c r="C19" s="60"/>
      <c r="D19" s="71"/>
      <c r="E19" s="12"/>
      <c r="F19" s="12"/>
      <c r="G19" s="25"/>
      <c r="H19" s="42"/>
      <c r="I19" s="26"/>
      <c r="J19" s="16"/>
      <c r="K19" s="12"/>
      <c r="L19" s="12"/>
      <c r="M19" s="12"/>
      <c r="N19" s="37"/>
      <c r="O19" s="55">
        <f t="shared" si="4"/>
        <v>0</v>
      </c>
      <c r="P19" s="67">
        <f t="shared" si="5"/>
        <v>0</v>
      </c>
      <c r="Q19" s="68">
        <f t="shared" si="6"/>
        <v>0</v>
      </c>
    </row>
    <row r="20" spans="1:17" ht="33.75" customHeight="1">
      <c r="A20" s="84" t="str">
        <f>'DIA 18'!A20</f>
        <v>CBP-001 (BAJO PERFIL)</v>
      </c>
      <c r="B20" s="24"/>
      <c r="C20" s="60"/>
      <c r="D20" s="71"/>
      <c r="E20" s="12"/>
      <c r="F20" s="12"/>
      <c r="G20" s="25"/>
      <c r="H20" s="42"/>
      <c r="I20" s="26"/>
      <c r="J20" s="16"/>
      <c r="K20" s="12"/>
      <c r="L20" s="12"/>
      <c r="M20" s="12"/>
      <c r="N20" s="37"/>
      <c r="O20" s="55">
        <f t="shared" si="4"/>
        <v>0</v>
      </c>
      <c r="P20" s="67">
        <f t="shared" si="5"/>
        <v>0</v>
      </c>
      <c r="Q20" s="68">
        <f t="shared" si="6"/>
        <v>0</v>
      </c>
    </row>
    <row r="21" spans="1:17" ht="33.75" customHeight="1">
      <c r="A21" s="84" t="str">
        <f>'DIA 18'!A21</f>
        <v>MG-105</v>
      </c>
      <c r="B21" s="24"/>
      <c r="C21" s="60"/>
      <c r="D21" s="71"/>
      <c r="E21" s="12"/>
      <c r="F21" s="12"/>
      <c r="G21" s="25"/>
      <c r="H21" s="42"/>
      <c r="I21" s="26"/>
      <c r="J21" s="16"/>
      <c r="K21" s="12"/>
      <c r="L21" s="12"/>
      <c r="M21" s="12"/>
      <c r="N21" s="37"/>
      <c r="O21" s="55">
        <f t="shared" si="4"/>
        <v>0</v>
      </c>
      <c r="P21" s="67">
        <f t="shared" si="5"/>
        <v>0</v>
      </c>
      <c r="Q21" s="68">
        <f t="shared" si="6"/>
        <v>0</v>
      </c>
    </row>
    <row r="22" spans="1:17" ht="33.75" customHeight="1">
      <c r="A22" s="84" t="str">
        <f>'DIA 18'!A22</f>
        <v>MG-044</v>
      </c>
      <c r="B22" s="24"/>
      <c r="C22" s="60"/>
      <c r="D22" s="71"/>
      <c r="E22" s="12"/>
      <c r="F22" s="12"/>
      <c r="G22" s="25"/>
      <c r="H22" s="42"/>
      <c r="I22" s="26"/>
      <c r="J22" s="16"/>
      <c r="K22" s="12"/>
      <c r="L22" s="12"/>
      <c r="M22" s="12"/>
      <c r="N22" s="37"/>
      <c r="O22" s="55">
        <f t="shared" si="4"/>
        <v>0</v>
      </c>
      <c r="P22" s="67">
        <f t="shared" si="5"/>
        <v>0</v>
      </c>
      <c r="Q22" s="68">
        <f t="shared" si="6"/>
        <v>0</v>
      </c>
    </row>
    <row r="23" spans="1:17" ht="33.75" customHeight="1">
      <c r="A23" s="84" t="str">
        <f>'DIA 18'!A23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4"/>
        <v>0</v>
      </c>
      <c r="P23" s="67">
        <f t="shared" si="5"/>
        <v>0</v>
      </c>
      <c r="Q23" s="68">
        <f t="shared" si="6"/>
        <v>0</v>
      </c>
    </row>
    <row r="24" spans="1:17" ht="33.75" customHeight="1">
      <c r="A24" s="84" t="str">
        <f>'DIA 18'!A24</f>
        <v>MG-033 (PERSONAL)</v>
      </c>
      <c r="B24" s="24">
        <v>714.34</v>
      </c>
      <c r="C24" s="60">
        <v>50</v>
      </c>
      <c r="D24" s="71" t="s">
        <v>101</v>
      </c>
      <c r="E24" s="12" t="s">
        <v>89</v>
      </c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4"/>
        <v>50</v>
      </c>
      <c r="P24" s="67">
        <f t="shared" si="5"/>
        <v>-714.34</v>
      </c>
      <c r="Q24" s="68">
        <f t="shared" si="6"/>
        <v>0</v>
      </c>
    </row>
    <row r="25" spans="1:17" ht="33.75" customHeight="1">
      <c r="A25" s="84" t="str">
        <f>'DIA 18'!A25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4"/>
        <v>0</v>
      </c>
      <c r="P25" s="67">
        <f t="shared" si="5"/>
        <v>0</v>
      </c>
      <c r="Q25" s="68">
        <f t="shared" si="6"/>
        <v>0</v>
      </c>
    </row>
    <row r="26" spans="1:17" ht="33.75" customHeight="1">
      <c r="A26" s="84" t="str">
        <f>'DIA 18'!A26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4"/>
        <v>0</v>
      </c>
      <c r="P26" s="67">
        <f t="shared" si="5"/>
        <v>0</v>
      </c>
      <c r="Q26" s="68">
        <f t="shared" si="6"/>
        <v>0</v>
      </c>
    </row>
    <row r="27" spans="1:17" ht="33.75" customHeight="1">
      <c r="A27" s="84" t="str">
        <f>'DIA 18'!A27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37"/>
      <c r="O27" s="55">
        <f t="shared" ref="O27:O30" si="7">J27+C27</f>
        <v>0</v>
      </c>
      <c r="P27" s="67">
        <f t="shared" ref="P27:P30" si="8">G27-B27</f>
        <v>0</v>
      </c>
      <c r="Q27" s="68">
        <f t="shared" ref="Q27:Q30" si="9">N27-I27</f>
        <v>0</v>
      </c>
    </row>
    <row r="28" spans="1:17" ht="33.75" customHeight="1">
      <c r="A28" s="84" t="str">
        <f>'DIA 18'!A28</f>
        <v>MG-111</v>
      </c>
      <c r="B28" s="24"/>
      <c r="C28" s="62"/>
      <c r="D28" s="57"/>
      <c r="E28" s="13"/>
      <c r="F28" s="12"/>
      <c r="G28" s="28"/>
      <c r="H28" s="42"/>
      <c r="I28" s="26"/>
      <c r="J28" s="15"/>
      <c r="K28" s="13"/>
      <c r="L28" s="13"/>
      <c r="M28" s="13"/>
      <c r="N28" s="37"/>
      <c r="O28" s="55">
        <f t="shared" si="7"/>
        <v>0</v>
      </c>
      <c r="P28" s="67">
        <f t="shared" si="8"/>
        <v>0</v>
      </c>
      <c r="Q28" s="68">
        <f t="shared" si="9"/>
        <v>0</v>
      </c>
    </row>
    <row r="29" spans="1:17" ht="33.75" customHeight="1">
      <c r="A29" s="84" t="str">
        <f>'DIA 18'!A29</f>
        <v>MG-120</v>
      </c>
      <c r="B29" s="24"/>
      <c r="C29" s="62"/>
      <c r="D29" s="57"/>
      <c r="E29" s="13"/>
      <c r="F29" s="12"/>
      <c r="G29" s="28"/>
      <c r="H29" s="42"/>
      <c r="I29" s="26"/>
      <c r="J29" s="15"/>
      <c r="K29" s="13"/>
      <c r="L29" s="13"/>
      <c r="M29" s="13"/>
      <c r="N29" s="37"/>
      <c r="O29" s="55">
        <f t="shared" si="7"/>
        <v>0</v>
      </c>
      <c r="P29" s="67">
        <f t="shared" si="8"/>
        <v>0</v>
      </c>
      <c r="Q29" s="68">
        <f t="shared" si="9"/>
        <v>0</v>
      </c>
    </row>
    <row r="30" spans="1:17" ht="33.75" customHeight="1">
      <c r="A30" s="84" t="str">
        <f>'DIA 18'!A30</f>
        <v>PROSERMIN</v>
      </c>
      <c r="B30" s="24"/>
      <c r="C30" s="62">
        <v>537</v>
      </c>
      <c r="D30" s="57"/>
      <c r="E30" s="13"/>
      <c r="F30" s="12"/>
      <c r="G30" s="28"/>
      <c r="H30" s="42"/>
      <c r="I30" s="26"/>
      <c r="J30" s="15">
        <v>198</v>
      </c>
      <c r="K30" s="13"/>
      <c r="L30" s="13"/>
      <c r="M30" s="13"/>
      <c r="N30" s="37"/>
      <c r="O30" s="55">
        <f t="shared" si="7"/>
        <v>735</v>
      </c>
      <c r="P30" s="67">
        <f t="shared" si="8"/>
        <v>0</v>
      </c>
      <c r="Q30" s="68">
        <f t="shared" si="9"/>
        <v>0</v>
      </c>
    </row>
    <row r="31" spans="1:17" ht="33.75" customHeight="1">
      <c r="A31" s="84" t="str">
        <f>'DIA 18'!A31</f>
        <v>ST-060</v>
      </c>
      <c r="B31" s="24"/>
      <c r="C31" s="62"/>
      <c r="D31" s="57"/>
      <c r="E31" s="13"/>
      <c r="F31" s="12"/>
      <c r="G31" s="28"/>
      <c r="H31" s="42"/>
      <c r="I31" s="26"/>
      <c r="J31" s="15"/>
      <c r="K31" s="13"/>
      <c r="L31" s="13"/>
      <c r="M31" s="13"/>
      <c r="N31" s="37"/>
      <c r="O31" s="55">
        <f t="shared" si="3"/>
        <v>0</v>
      </c>
      <c r="P31" s="67">
        <f t="shared" ref="P31:P32" si="10">G31-B31</f>
        <v>0</v>
      </c>
      <c r="Q31" s="68">
        <f t="shared" ref="Q31:Q32" si="11">N31-I31</f>
        <v>0</v>
      </c>
    </row>
    <row r="32" spans="1:17" ht="33.75" customHeight="1">
      <c r="A32" s="84" t="str">
        <f>'DIA 18'!A32</f>
        <v>ST-53</v>
      </c>
      <c r="B32" s="24"/>
      <c r="C32" s="62"/>
      <c r="D32" s="57"/>
      <c r="E32" s="13"/>
      <c r="F32" s="12"/>
      <c r="G32" s="28"/>
      <c r="H32" s="42"/>
      <c r="I32" s="26"/>
      <c r="J32" s="15"/>
      <c r="K32" s="13"/>
      <c r="L32" s="13"/>
      <c r="M32" s="13"/>
      <c r="N32" s="37"/>
      <c r="O32" s="55">
        <f t="shared" si="3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18'!A33</f>
        <v>ST-039</v>
      </c>
      <c r="B33" s="24"/>
      <c r="C33" s="62"/>
      <c r="D33" s="57"/>
      <c r="E33" s="13"/>
      <c r="F33" s="12"/>
      <c r="G33" s="28"/>
      <c r="H33" s="43"/>
      <c r="I33" s="26"/>
      <c r="J33" s="18"/>
      <c r="K33" s="76"/>
      <c r="L33" s="76"/>
      <c r="M33" s="19"/>
      <c r="N33" s="41"/>
      <c r="O33" s="55">
        <f t="shared" si="3"/>
        <v>0</v>
      </c>
      <c r="P33" s="67">
        <f t="shared" si="1"/>
        <v>0</v>
      </c>
      <c r="Q33" s="68">
        <f t="shared" si="2"/>
        <v>0</v>
      </c>
    </row>
    <row r="34" spans="1:21" ht="33.75" customHeight="1" thickBot="1">
      <c r="A34" s="84" t="str">
        <f>'DIA 18'!A34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 t="shared" si="3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756</v>
      </c>
      <c r="D35" s="10"/>
      <c r="E35" s="11"/>
      <c r="F35" s="11"/>
      <c r="G35" s="11"/>
      <c r="H35" s="11"/>
      <c r="I35" s="11"/>
      <c r="J35" s="59">
        <f>SUM(J7:J34)</f>
        <v>406</v>
      </c>
      <c r="K35" s="50"/>
      <c r="L35" s="50"/>
      <c r="M35" s="49"/>
      <c r="N35" s="49"/>
      <c r="O35" s="85">
        <f>C35+J35</f>
        <v>1162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Q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64" priority="1" operator="containsText" text="NO TRABAJO">
      <formula>NOT(ISERROR(SEARCH("NO TRABAJO",O7)))</formula>
    </cfRule>
    <cfRule type="containsText" dxfId="63" priority="2" operator="containsText" text="FUERA DE SERVICIO">
      <formula>NOT(ISERROR(SEARCH("FUERA DE SERVICIO",O7)))</formula>
    </cfRule>
    <cfRule type="containsText" dxfId="62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0E2A-5667-405A-AB6A-5A0F41F4E750}">
  <sheetPr>
    <pageSetUpPr fitToPage="1"/>
  </sheetPr>
  <dimension ref="A1:U56"/>
  <sheetViews>
    <sheetView showGridLines="0" view="pageBreakPreview" topLeftCell="A13" zoomScale="50" zoomScaleNormal="100" zoomScaleSheetLayoutView="50" workbookViewId="0">
      <selection activeCell="K30" sqref="K29:K30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>
        <v>14000</v>
      </c>
      <c r="P2" s="187">
        <f>'DIA 19'!Q2+O2</f>
        <v>20074</v>
      </c>
      <c r="Q2" s="160">
        <f>P2-O35</f>
        <v>18422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64"/>
      <c r="P4" s="165"/>
      <c r="Q4" s="166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2"/>
      <c r="P5" s="193"/>
      <c r="Q5" s="194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19'!O6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19'!A7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19'!A8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34" si="3">J8+C8</f>
        <v>0</v>
      </c>
      <c r="P8" s="67">
        <f t="shared" si="1"/>
        <v>0</v>
      </c>
      <c r="Q8" s="68">
        <f t="shared" si="2"/>
        <v>0</v>
      </c>
    </row>
    <row r="9" spans="1:17" ht="33.75" customHeight="1">
      <c r="A9" s="84" t="str">
        <f>'DIA 19'!A9</f>
        <v>ST-036 R1300</v>
      </c>
      <c r="B9" s="24">
        <v>9212</v>
      </c>
      <c r="C9" s="61">
        <v>116</v>
      </c>
      <c r="D9" s="72" t="s">
        <v>80</v>
      </c>
      <c r="E9" s="12" t="s">
        <v>89</v>
      </c>
      <c r="F9" s="12" t="s">
        <v>90</v>
      </c>
      <c r="G9" s="27"/>
      <c r="H9" s="42"/>
      <c r="I9" s="26">
        <v>9217.6</v>
      </c>
      <c r="J9" s="14">
        <v>128</v>
      </c>
      <c r="K9" s="12" t="s">
        <v>135</v>
      </c>
      <c r="L9" s="12" t="s">
        <v>106</v>
      </c>
      <c r="M9" s="12" t="s">
        <v>107</v>
      </c>
      <c r="N9" s="37"/>
      <c r="O9" s="55">
        <f t="shared" si="3"/>
        <v>244</v>
      </c>
      <c r="P9" s="67">
        <f t="shared" si="1"/>
        <v>-9212</v>
      </c>
      <c r="Q9" s="68">
        <f t="shared" si="2"/>
        <v>-9217.6</v>
      </c>
    </row>
    <row r="10" spans="1:17" ht="33.75" customHeight="1">
      <c r="A10" s="84" t="str">
        <f>'DIA 19'!A10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ref="O10:O21" si="4">J10+C10</f>
        <v>0</v>
      </c>
      <c r="P10" s="67">
        <f t="shared" ref="P10:P21" si="5">G10-B10</f>
        <v>0</v>
      </c>
      <c r="Q10" s="68">
        <f t="shared" ref="Q10:Q21" si="6">N10-I10</f>
        <v>0</v>
      </c>
    </row>
    <row r="11" spans="1:17" ht="33.75" customHeight="1">
      <c r="A11" s="84" t="str">
        <f>'DIA 19'!A11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4"/>
        <v>0</v>
      </c>
      <c r="P11" s="67">
        <f t="shared" si="5"/>
        <v>0</v>
      </c>
      <c r="Q11" s="68">
        <f t="shared" si="6"/>
        <v>0</v>
      </c>
    </row>
    <row r="12" spans="1:17" ht="33.75" customHeight="1">
      <c r="A12" s="84" t="str">
        <f>'DIA 19'!A12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>
        <v>49</v>
      </c>
      <c r="K12" s="12" t="s">
        <v>115</v>
      </c>
      <c r="L12" s="12" t="s">
        <v>106</v>
      </c>
      <c r="M12" s="12" t="s">
        <v>107</v>
      </c>
      <c r="N12" s="37"/>
      <c r="O12" s="55">
        <f t="shared" si="4"/>
        <v>49</v>
      </c>
      <c r="P12" s="67">
        <f t="shared" si="5"/>
        <v>0</v>
      </c>
      <c r="Q12" s="68">
        <f t="shared" si="6"/>
        <v>0</v>
      </c>
    </row>
    <row r="13" spans="1:17" ht="33.75" customHeight="1">
      <c r="A13" s="84" t="str">
        <f>'DIA 19'!A13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4"/>
        <v>0</v>
      </c>
      <c r="P13" s="67">
        <f t="shared" si="5"/>
        <v>0</v>
      </c>
      <c r="Q13" s="68">
        <f t="shared" si="6"/>
        <v>0</v>
      </c>
    </row>
    <row r="14" spans="1:17" ht="33.75" customHeight="1">
      <c r="A14" s="84" t="str">
        <f>'DIA 19'!A14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4"/>
        <v>0</v>
      </c>
      <c r="P14" s="67">
        <f t="shared" si="5"/>
        <v>0</v>
      </c>
      <c r="Q14" s="68">
        <f t="shared" si="6"/>
        <v>0</v>
      </c>
    </row>
    <row r="15" spans="1:17" ht="33.75" customHeight="1">
      <c r="A15" s="84" t="str">
        <f>'DIA 19'!A15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si="4"/>
        <v>0</v>
      </c>
      <c r="P15" s="67">
        <f t="shared" si="5"/>
        <v>0</v>
      </c>
      <c r="Q15" s="68">
        <f t="shared" si="6"/>
        <v>0</v>
      </c>
    </row>
    <row r="16" spans="1:17" ht="33.75" customHeight="1">
      <c r="A16" s="84" t="str">
        <f>'DIA 19'!A16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4"/>
        <v>0</v>
      </c>
      <c r="P16" s="67">
        <f t="shared" si="5"/>
        <v>0</v>
      </c>
      <c r="Q16" s="68">
        <f t="shared" si="6"/>
        <v>0</v>
      </c>
    </row>
    <row r="17" spans="1:17" ht="33.75" customHeight="1">
      <c r="A17" s="84" t="str">
        <f>'DIA 19'!A17</f>
        <v>RE-009 (RETROEXCAVADORA)</v>
      </c>
      <c r="B17" s="24"/>
      <c r="C17" s="61"/>
      <c r="D17" s="72"/>
      <c r="E17" s="12"/>
      <c r="F17" s="12"/>
      <c r="G17" s="27"/>
      <c r="H17" s="42"/>
      <c r="I17" s="26">
        <v>6829</v>
      </c>
      <c r="J17" s="14">
        <v>68</v>
      </c>
      <c r="K17" s="12" t="s">
        <v>108</v>
      </c>
      <c r="L17" s="12" t="s">
        <v>106</v>
      </c>
      <c r="M17" s="12" t="s">
        <v>107</v>
      </c>
      <c r="N17" s="37"/>
      <c r="O17" s="55">
        <f t="shared" si="4"/>
        <v>68</v>
      </c>
      <c r="P17" s="67">
        <f t="shared" si="5"/>
        <v>0</v>
      </c>
      <c r="Q17" s="68">
        <f t="shared" si="6"/>
        <v>-6829</v>
      </c>
    </row>
    <row r="18" spans="1:17" ht="33.75" customHeight="1">
      <c r="A18" s="84" t="str">
        <f>'DIA 19'!A18</f>
        <v>RE-010 (RETROEXCAVADORA)</v>
      </c>
      <c r="B18" s="24"/>
      <c r="C18" s="61"/>
      <c r="D18" s="72"/>
      <c r="E18" s="12"/>
      <c r="F18" s="12"/>
      <c r="G18" s="27"/>
      <c r="H18" s="42"/>
      <c r="I18" s="26"/>
      <c r="J18" s="14"/>
      <c r="K18" s="12"/>
      <c r="L18" s="12"/>
      <c r="M18" s="12"/>
      <c r="N18" s="37"/>
      <c r="O18" s="55">
        <f t="shared" si="4"/>
        <v>0</v>
      </c>
      <c r="P18" s="67">
        <f t="shared" si="5"/>
        <v>0</v>
      </c>
      <c r="Q18" s="68">
        <f t="shared" si="6"/>
        <v>0</v>
      </c>
    </row>
    <row r="19" spans="1:17" ht="33.75" customHeight="1">
      <c r="A19" s="84" t="str">
        <f>'DIA 19'!A19</f>
        <v>ZN</v>
      </c>
      <c r="B19" s="24"/>
      <c r="C19" s="61"/>
      <c r="D19" s="72"/>
      <c r="E19" s="12"/>
      <c r="F19" s="12"/>
      <c r="G19" s="27"/>
      <c r="H19" s="42"/>
      <c r="I19" s="26"/>
      <c r="J19" s="14"/>
      <c r="K19" s="12"/>
      <c r="L19" s="12"/>
      <c r="M19" s="12"/>
      <c r="N19" s="37"/>
      <c r="O19" s="55">
        <f t="shared" si="4"/>
        <v>0</v>
      </c>
      <c r="P19" s="67">
        <f t="shared" si="5"/>
        <v>0</v>
      </c>
      <c r="Q19" s="68">
        <f t="shared" si="6"/>
        <v>0</v>
      </c>
    </row>
    <row r="20" spans="1:17" ht="33.75" customHeight="1">
      <c r="A20" s="84" t="str">
        <f>'DIA 19'!A20</f>
        <v>CBP-001 (BAJO PERFIL)</v>
      </c>
      <c r="B20" s="24"/>
      <c r="C20" s="61"/>
      <c r="D20" s="72"/>
      <c r="E20" s="12"/>
      <c r="F20" s="12"/>
      <c r="G20" s="27"/>
      <c r="H20" s="42"/>
      <c r="I20" s="26"/>
      <c r="J20" s="14"/>
      <c r="K20" s="12"/>
      <c r="L20" s="12"/>
      <c r="M20" s="12"/>
      <c r="N20" s="37"/>
      <c r="O20" s="55">
        <f t="shared" si="4"/>
        <v>0</v>
      </c>
      <c r="P20" s="67">
        <f t="shared" si="5"/>
        <v>0</v>
      </c>
      <c r="Q20" s="68">
        <f t="shared" si="6"/>
        <v>0</v>
      </c>
    </row>
    <row r="21" spans="1:17" ht="33.75" customHeight="1">
      <c r="A21" s="84" t="str">
        <f>'DIA 19'!A21</f>
        <v>MG-105</v>
      </c>
      <c r="B21" s="24"/>
      <c r="C21" s="61"/>
      <c r="D21" s="72"/>
      <c r="E21" s="12"/>
      <c r="F21" s="12"/>
      <c r="G21" s="27"/>
      <c r="H21" s="42"/>
      <c r="I21" s="26"/>
      <c r="J21" s="14"/>
      <c r="K21" s="12"/>
      <c r="L21" s="12"/>
      <c r="M21" s="12"/>
      <c r="N21" s="37"/>
      <c r="O21" s="55">
        <f t="shared" si="4"/>
        <v>0</v>
      </c>
      <c r="P21" s="67">
        <f t="shared" si="5"/>
        <v>0</v>
      </c>
      <c r="Q21" s="68">
        <f t="shared" si="6"/>
        <v>0</v>
      </c>
    </row>
    <row r="22" spans="1:17" ht="33.75" customHeight="1">
      <c r="A22" s="84" t="str">
        <f>'DIA 19'!A22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ref="O22:O29" si="7">J22+C22</f>
        <v>0</v>
      </c>
      <c r="P22" s="67">
        <f t="shared" ref="P22:P29" si="8">G22-B22</f>
        <v>0</v>
      </c>
      <c r="Q22" s="68">
        <f t="shared" ref="Q22:Q29" si="9">N22-I22</f>
        <v>0</v>
      </c>
    </row>
    <row r="23" spans="1:17" ht="33.75" customHeight="1">
      <c r="A23" s="84" t="str">
        <f>'DIA 19'!A23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7"/>
        <v>0</v>
      </c>
      <c r="P23" s="67">
        <f t="shared" si="8"/>
        <v>0</v>
      </c>
      <c r="Q23" s="68">
        <f t="shared" si="9"/>
        <v>0</v>
      </c>
    </row>
    <row r="24" spans="1:17" ht="33.75" customHeight="1">
      <c r="A24" s="84" t="str">
        <f>'DIA 19'!A24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7"/>
        <v>0</v>
      </c>
      <c r="P24" s="67">
        <f t="shared" si="8"/>
        <v>0</v>
      </c>
      <c r="Q24" s="68">
        <f t="shared" si="9"/>
        <v>0</v>
      </c>
    </row>
    <row r="25" spans="1:17" ht="33.75" customHeight="1">
      <c r="A25" s="84" t="str">
        <f>'DIA 19'!A25</f>
        <v>MG-113</v>
      </c>
      <c r="B25" s="24"/>
      <c r="C25" s="60"/>
      <c r="D25" s="71"/>
      <c r="E25" s="12"/>
      <c r="F25" s="12"/>
      <c r="G25" s="25"/>
      <c r="H25" s="42"/>
      <c r="I25" s="26">
        <v>24335</v>
      </c>
      <c r="J25" s="16">
        <v>71</v>
      </c>
      <c r="K25" s="12" t="s">
        <v>124</v>
      </c>
      <c r="L25" s="12" t="s">
        <v>106</v>
      </c>
      <c r="M25" s="12" t="s">
        <v>107</v>
      </c>
      <c r="N25" s="37"/>
      <c r="O25" s="55">
        <f t="shared" si="7"/>
        <v>71</v>
      </c>
      <c r="P25" s="67">
        <f t="shared" si="8"/>
        <v>0</v>
      </c>
      <c r="Q25" s="68">
        <f t="shared" si="9"/>
        <v>-24335</v>
      </c>
    </row>
    <row r="26" spans="1:17" ht="33.75" customHeight="1">
      <c r="A26" s="84" t="str">
        <f>'DIA 19'!A26</f>
        <v>MG-121</v>
      </c>
      <c r="B26" s="24">
        <v>26530</v>
      </c>
      <c r="C26" s="61">
        <v>47</v>
      </c>
      <c r="D26" s="72" t="s">
        <v>126</v>
      </c>
      <c r="E26" s="12" t="s">
        <v>89</v>
      </c>
      <c r="F26" s="12" t="s">
        <v>90</v>
      </c>
      <c r="G26" s="27"/>
      <c r="H26" s="42"/>
      <c r="I26" s="26"/>
      <c r="J26" s="16"/>
      <c r="K26" s="17"/>
      <c r="L26" s="17"/>
      <c r="M26" s="17"/>
      <c r="N26" s="37"/>
      <c r="O26" s="55">
        <f t="shared" si="7"/>
        <v>47</v>
      </c>
      <c r="P26" s="67">
        <f t="shared" si="8"/>
        <v>-26530</v>
      </c>
      <c r="Q26" s="68">
        <f t="shared" si="9"/>
        <v>0</v>
      </c>
    </row>
    <row r="27" spans="1:17" ht="33.75" customHeight="1">
      <c r="A27" s="84" t="str">
        <f>'DIA 19'!A27</f>
        <v>MG-086</v>
      </c>
      <c r="B27" s="24"/>
      <c r="C27" s="60"/>
      <c r="D27" s="71"/>
      <c r="E27" s="12"/>
      <c r="F27" s="12"/>
      <c r="G27" s="25"/>
      <c r="H27" s="42"/>
      <c r="I27" s="26"/>
      <c r="J27" s="16"/>
      <c r="K27" s="13"/>
      <c r="L27" s="13"/>
      <c r="M27" s="13"/>
      <c r="N27" s="41"/>
      <c r="O27" s="55">
        <f t="shared" si="7"/>
        <v>0</v>
      </c>
      <c r="P27" s="67">
        <f t="shared" si="8"/>
        <v>0</v>
      </c>
      <c r="Q27" s="68">
        <f t="shared" si="9"/>
        <v>0</v>
      </c>
    </row>
    <row r="28" spans="1:17" ht="33.75" customHeight="1">
      <c r="A28" s="84" t="str">
        <f>'DIA 19'!A28</f>
        <v>MG-111</v>
      </c>
      <c r="B28" s="24"/>
      <c r="C28" s="61"/>
      <c r="D28" s="72"/>
      <c r="E28" s="12"/>
      <c r="F28" s="12"/>
      <c r="G28" s="27"/>
      <c r="H28" s="42"/>
      <c r="I28" s="26"/>
      <c r="J28" s="16"/>
      <c r="K28" s="13"/>
      <c r="L28" s="13"/>
      <c r="M28" s="13"/>
      <c r="N28" s="41"/>
      <c r="O28" s="55">
        <f t="shared" si="7"/>
        <v>0</v>
      </c>
      <c r="P28" s="67">
        <f t="shared" si="8"/>
        <v>0</v>
      </c>
      <c r="Q28" s="68">
        <f t="shared" si="9"/>
        <v>0</v>
      </c>
    </row>
    <row r="29" spans="1:17" ht="33.75" customHeight="1">
      <c r="A29" s="84" t="str">
        <f>'DIA 19'!A29</f>
        <v>MG-120</v>
      </c>
      <c r="B29" s="24"/>
      <c r="C29" s="60"/>
      <c r="D29" s="71"/>
      <c r="E29" s="12"/>
      <c r="F29" s="12"/>
      <c r="G29" s="25"/>
      <c r="H29" s="42"/>
      <c r="I29" s="26"/>
      <c r="J29" s="16"/>
      <c r="K29" s="13"/>
      <c r="L29" s="13"/>
      <c r="M29" s="13"/>
      <c r="N29" s="41"/>
      <c r="O29" s="55">
        <f t="shared" si="7"/>
        <v>0</v>
      </c>
      <c r="P29" s="67">
        <f t="shared" si="8"/>
        <v>0</v>
      </c>
      <c r="Q29" s="68">
        <f t="shared" si="9"/>
        <v>0</v>
      </c>
    </row>
    <row r="30" spans="1:17" ht="33.75" customHeight="1">
      <c r="A30" s="84" t="str">
        <f>'DIA 19'!A30</f>
        <v>PROSERMIN</v>
      </c>
      <c r="B30" s="24"/>
      <c r="C30" s="61">
        <v>554</v>
      </c>
      <c r="D30" s="72"/>
      <c r="E30" s="12"/>
      <c r="F30" s="12"/>
      <c r="G30" s="27"/>
      <c r="H30" s="42"/>
      <c r="I30" s="26"/>
      <c r="J30" s="16">
        <v>222</v>
      </c>
      <c r="K30" s="13"/>
      <c r="L30" s="13"/>
      <c r="M30" s="13"/>
      <c r="N30" s="41"/>
      <c r="O30" s="55">
        <f t="shared" si="3"/>
        <v>776</v>
      </c>
      <c r="P30" s="67">
        <f t="shared" ref="P30:P32" si="10">G30-B30</f>
        <v>0</v>
      </c>
      <c r="Q30" s="68">
        <f t="shared" ref="Q30:Q32" si="11">N30-I30</f>
        <v>0</v>
      </c>
    </row>
    <row r="31" spans="1:17" ht="33.75" customHeight="1">
      <c r="A31" s="84" t="str">
        <f>'DIA 19'!A31</f>
        <v>ST-060</v>
      </c>
      <c r="B31" s="24"/>
      <c r="C31" s="60"/>
      <c r="D31" s="71"/>
      <c r="E31" s="12"/>
      <c r="F31" s="12"/>
      <c r="G31" s="25"/>
      <c r="H31" s="42"/>
      <c r="I31" s="26"/>
      <c r="J31" s="16"/>
      <c r="K31" s="13"/>
      <c r="L31" s="13"/>
      <c r="M31" s="13"/>
      <c r="N31" s="41"/>
      <c r="O31" s="55">
        <f t="shared" si="3"/>
        <v>0</v>
      </c>
      <c r="P31" s="67">
        <f t="shared" si="10"/>
        <v>0</v>
      </c>
      <c r="Q31" s="68">
        <f t="shared" si="11"/>
        <v>0</v>
      </c>
    </row>
    <row r="32" spans="1:17" ht="33.75" customHeight="1">
      <c r="A32" s="84" t="str">
        <f>'DIA 19'!A32</f>
        <v>ST-53</v>
      </c>
      <c r="B32" s="24"/>
      <c r="C32" s="61"/>
      <c r="D32" s="72"/>
      <c r="E32" s="12"/>
      <c r="F32" s="12"/>
      <c r="G32" s="27"/>
      <c r="H32" s="42"/>
      <c r="I32" s="26"/>
      <c r="J32" s="16"/>
      <c r="K32" s="13"/>
      <c r="L32" s="13"/>
      <c r="M32" s="13"/>
      <c r="N32" s="41"/>
      <c r="O32" s="55">
        <f t="shared" si="3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19'!A33</f>
        <v>ST-039</v>
      </c>
      <c r="B33" s="24">
        <v>9603</v>
      </c>
      <c r="C33" s="60">
        <v>159</v>
      </c>
      <c r="D33" s="71" t="s">
        <v>105</v>
      </c>
      <c r="E33" s="17" t="s">
        <v>89</v>
      </c>
      <c r="F33" s="12" t="s">
        <v>90</v>
      </c>
      <c r="G33" s="25"/>
      <c r="H33" s="43"/>
      <c r="I33" s="26">
        <v>9611.9</v>
      </c>
      <c r="J33" s="18">
        <v>204</v>
      </c>
      <c r="K33" s="19" t="s">
        <v>104</v>
      </c>
      <c r="L33" s="76" t="s">
        <v>106</v>
      </c>
      <c r="M33" s="19" t="s">
        <v>107</v>
      </c>
      <c r="N33" s="41"/>
      <c r="O33" s="55">
        <f t="shared" si="3"/>
        <v>363</v>
      </c>
      <c r="P33" s="67">
        <f t="shared" si="1"/>
        <v>-9603</v>
      </c>
      <c r="Q33" s="68">
        <f t="shared" si="2"/>
        <v>-9611.9</v>
      </c>
    </row>
    <row r="34" spans="1:21" ht="33.75" customHeight="1" thickBot="1">
      <c r="A34" s="84" t="str">
        <f>'DIA 19'!A34</f>
        <v>JL-025</v>
      </c>
      <c r="B34" s="32"/>
      <c r="C34" s="65"/>
      <c r="D34" s="75"/>
      <c r="E34" s="34"/>
      <c r="F34" s="35"/>
      <c r="G34" s="36"/>
      <c r="H34" s="44"/>
      <c r="I34" s="39">
        <v>4198.2</v>
      </c>
      <c r="J34" s="33">
        <v>34</v>
      </c>
      <c r="K34" s="34" t="s">
        <v>109</v>
      </c>
      <c r="L34" s="34" t="s">
        <v>106</v>
      </c>
      <c r="M34" s="34" t="s">
        <v>107</v>
      </c>
      <c r="N34" s="40"/>
      <c r="O34" s="55">
        <f t="shared" si="3"/>
        <v>34</v>
      </c>
      <c r="P34" s="69">
        <f t="shared" si="1"/>
        <v>0</v>
      </c>
      <c r="Q34" s="70">
        <f t="shared" si="2"/>
        <v>-4198.2</v>
      </c>
    </row>
    <row r="35" spans="1:21" ht="39" customHeight="1" thickBot="1">
      <c r="A35" s="83" t="s">
        <v>0</v>
      </c>
      <c r="B35" s="11"/>
      <c r="C35" s="58">
        <f>SUM(C7:C34)</f>
        <v>876</v>
      </c>
      <c r="D35" s="10"/>
      <c r="E35" s="11"/>
      <c r="F35" s="11"/>
      <c r="G35" s="11"/>
      <c r="H35" s="11"/>
      <c r="I35" s="11"/>
      <c r="J35" s="59">
        <f>SUM(J7:J34)</f>
        <v>776</v>
      </c>
      <c r="K35" s="50"/>
      <c r="L35" s="50"/>
      <c r="M35" s="49"/>
      <c r="N35" s="49"/>
      <c r="O35" s="85">
        <f>C35+J35</f>
        <v>1652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Q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61" priority="1" operator="containsText" text="NO TRABAJO">
      <formula>NOT(ISERROR(SEARCH("NO TRABAJO",O7)))</formula>
    </cfRule>
    <cfRule type="containsText" dxfId="60" priority="2" operator="containsText" text="FUERA DE SERVICIO">
      <formula>NOT(ISERROR(SEARCH("FUERA DE SERVICIO",O7)))</formula>
    </cfRule>
    <cfRule type="containsText" dxfId="59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00FF-EF9C-4CE9-97D9-CD8595F69B17}">
  <sheetPr>
    <pageSetUpPr fitToPage="1"/>
  </sheetPr>
  <dimension ref="A1:U56"/>
  <sheetViews>
    <sheetView showGridLines="0" tabSelected="1" view="pageBreakPreview" topLeftCell="A13" zoomScale="50" zoomScaleNormal="100" zoomScaleSheetLayoutView="50" workbookViewId="0">
      <selection activeCell="K13" sqref="K13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20'!Q2+O2</f>
        <v>18422</v>
      </c>
      <c r="Q2" s="160">
        <f>P2-O35</f>
        <v>16671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64"/>
      <c r="P4" s="165"/>
      <c r="Q4" s="166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2"/>
      <c r="P5" s="193"/>
      <c r="Q5" s="194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20'!O6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20'!A7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20'!A8</f>
        <v>ST-025 (1600)</v>
      </c>
      <c r="B8" s="24"/>
      <c r="C8" s="61"/>
      <c r="D8" s="72"/>
      <c r="E8" s="12"/>
      <c r="F8" s="12"/>
      <c r="G8" s="27"/>
      <c r="H8" s="42"/>
      <c r="I8" s="26">
        <v>2756</v>
      </c>
      <c r="J8" s="14">
        <v>149</v>
      </c>
      <c r="K8" s="12" t="s">
        <v>104</v>
      </c>
      <c r="L8" s="12" t="s">
        <v>106</v>
      </c>
      <c r="M8" s="12" t="s">
        <v>107</v>
      </c>
      <c r="N8" s="37"/>
      <c r="O8" s="55">
        <f t="shared" ref="O8:O25" si="3">J8+C8</f>
        <v>149</v>
      </c>
      <c r="P8" s="67">
        <f t="shared" ref="P8:P25" si="4">G8-B8</f>
        <v>0</v>
      </c>
      <c r="Q8" s="68">
        <f t="shared" ref="Q8:Q25" si="5">N8-I8</f>
        <v>-2756</v>
      </c>
    </row>
    <row r="9" spans="1:17" ht="33.75" customHeight="1">
      <c r="A9" s="84" t="str">
        <f>'DIA 20'!A9</f>
        <v>ST-036 R1300</v>
      </c>
      <c r="B9" s="24"/>
      <c r="C9" s="61"/>
      <c r="D9" s="72"/>
      <c r="E9" s="12"/>
      <c r="F9" s="12"/>
      <c r="G9" s="27"/>
      <c r="H9" s="42"/>
      <c r="I9" s="26">
        <v>9228.1</v>
      </c>
      <c r="J9" s="14">
        <v>196</v>
      </c>
      <c r="K9" s="12" t="s">
        <v>131</v>
      </c>
      <c r="L9" s="12" t="s">
        <v>106</v>
      </c>
      <c r="M9" s="12" t="s">
        <v>107</v>
      </c>
      <c r="N9" s="37"/>
      <c r="O9" s="55">
        <f t="shared" si="3"/>
        <v>196</v>
      </c>
      <c r="P9" s="67">
        <f t="shared" si="4"/>
        <v>0</v>
      </c>
      <c r="Q9" s="68">
        <f t="shared" si="5"/>
        <v>-9228.1</v>
      </c>
    </row>
    <row r="10" spans="1:17" ht="33.75" customHeight="1">
      <c r="A10" s="84" t="str">
        <f>'DIA 20'!A10</f>
        <v>ST-018</v>
      </c>
      <c r="B10" s="24">
        <v>9636</v>
      </c>
      <c r="C10" s="61">
        <v>69</v>
      </c>
      <c r="D10" s="72" t="s">
        <v>80</v>
      </c>
      <c r="E10" s="12" t="s">
        <v>89</v>
      </c>
      <c r="F10" s="12" t="s">
        <v>90</v>
      </c>
      <c r="G10" s="27"/>
      <c r="H10" s="42"/>
      <c r="I10" s="26"/>
      <c r="J10" s="14"/>
      <c r="K10" s="12"/>
      <c r="L10" s="12"/>
      <c r="M10" s="12"/>
      <c r="N10" s="37"/>
      <c r="O10" s="55">
        <f t="shared" si="3"/>
        <v>69</v>
      </c>
      <c r="P10" s="67">
        <f t="shared" si="4"/>
        <v>-9636</v>
      </c>
      <c r="Q10" s="68">
        <f t="shared" si="5"/>
        <v>0</v>
      </c>
    </row>
    <row r="11" spans="1:17" ht="33.75" customHeight="1">
      <c r="A11" s="84" t="str">
        <f>'DIA 20'!A11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3"/>
        <v>0</v>
      </c>
      <c r="P11" s="67">
        <f t="shared" si="4"/>
        <v>0</v>
      </c>
      <c r="Q11" s="68">
        <f t="shared" si="5"/>
        <v>0</v>
      </c>
    </row>
    <row r="12" spans="1:17" ht="33.75" customHeight="1">
      <c r="A12" s="84" t="str">
        <f>'DIA 20'!A12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3"/>
        <v>0</v>
      </c>
      <c r="P12" s="67">
        <f t="shared" si="4"/>
        <v>0</v>
      </c>
      <c r="Q12" s="68">
        <f t="shared" si="5"/>
        <v>0</v>
      </c>
    </row>
    <row r="13" spans="1:17" ht="33.75" customHeight="1">
      <c r="A13" s="84" t="str">
        <f>'DIA 20'!A13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3"/>
        <v>0</v>
      </c>
      <c r="P13" s="67">
        <f t="shared" si="4"/>
        <v>0</v>
      </c>
      <c r="Q13" s="68">
        <f t="shared" si="5"/>
        <v>0</v>
      </c>
    </row>
    <row r="14" spans="1:17" ht="33.75" customHeight="1">
      <c r="A14" s="84" t="str">
        <f>'DIA 20'!A14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3"/>
        <v>0</v>
      </c>
      <c r="P14" s="67">
        <f t="shared" si="4"/>
        <v>0</v>
      </c>
      <c r="Q14" s="68">
        <f t="shared" si="5"/>
        <v>0</v>
      </c>
    </row>
    <row r="15" spans="1:17" ht="33.75" customHeight="1">
      <c r="A15" s="84" t="str">
        <f>'DIA 20'!A15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si="3"/>
        <v>0</v>
      </c>
      <c r="P15" s="67">
        <f t="shared" si="4"/>
        <v>0</v>
      </c>
      <c r="Q15" s="68">
        <f t="shared" si="5"/>
        <v>0</v>
      </c>
    </row>
    <row r="16" spans="1:17" ht="33.75" customHeight="1">
      <c r="A16" s="84" t="str">
        <f>'DIA 20'!A16</f>
        <v>JA-004 CANNON</v>
      </c>
      <c r="B16" s="24">
        <v>2416.6</v>
      </c>
      <c r="C16" s="61">
        <v>134</v>
      </c>
      <c r="D16" s="72" t="s">
        <v>136</v>
      </c>
      <c r="E16" s="12" t="s">
        <v>89</v>
      </c>
      <c r="F16" s="12" t="s">
        <v>90</v>
      </c>
      <c r="G16" s="27"/>
      <c r="H16" s="42"/>
      <c r="I16" s="26"/>
      <c r="J16" s="14"/>
      <c r="K16" s="12"/>
      <c r="L16" s="12"/>
      <c r="M16" s="12"/>
      <c r="N16" s="37"/>
      <c r="O16" s="55">
        <f t="shared" si="3"/>
        <v>134</v>
      </c>
      <c r="P16" s="67">
        <f t="shared" si="4"/>
        <v>-2416.6</v>
      </c>
      <c r="Q16" s="68">
        <f t="shared" si="5"/>
        <v>0</v>
      </c>
    </row>
    <row r="17" spans="1:17" ht="33.75" customHeight="1">
      <c r="A17" s="84" t="str">
        <f>'DIA 20'!A17</f>
        <v>RE-009 (RETROEXCAVADORA)</v>
      </c>
      <c r="B17" s="24"/>
      <c r="C17" s="61"/>
      <c r="D17" s="72"/>
      <c r="E17" s="12"/>
      <c r="F17" s="12"/>
      <c r="G17" s="27"/>
      <c r="H17" s="42"/>
      <c r="I17" s="26"/>
      <c r="J17" s="14"/>
      <c r="K17" s="12"/>
      <c r="L17" s="12"/>
      <c r="M17" s="12"/>
      <c r="N17" s="37"/>
      <c r="O17" s="55">
        <f t="shared" si="3"/>
        <v>0</v>
      </c>
      <c r="P17" s="67">
        <f t="shared" si="4"/>
        <v>0</v>
      </c>
      <c r="Q17" s="68">
        <f t="shared" si="5"/>
        <v>0</v>
      </c>
    </row>
    <row r="18" spans="1:17" ht="33.75" customHeight="1">
      <c r="A18" s="84" t="str">
        <f>'DIA 20'!A18</f>
        <v>RE-010 (RETROEXCAVADORA)</v>
      </c>
      <c r="B18" s="24"/>
      <c r="C18" s="61"/>
      <c r="D18" s="72"/>
      <c r="E18" s="12"/>
      <c r="F18" s="12"/>
      <c r="G18" s="27"/>
      <c r="H18" s="42"/>
      <c r="I18" s="26"/>
      <c r="J18" s="14"/>
      <c r="K18" s="12"/>
      <c r="L18" s="12"/>
      <c r="M18" s="12"/>
      <c r="N18" s="37"/>
      <c r="O18" s="55">
        <f t="shared" si="3"/>
        <v>0</v>
      </c>
      <c r="P18" s="67">
        <f t="shared" si="4"/>
        <v>0</v>
      </c>
      <c r="Q18" s="68">
        <f t="shared" si="5"/>
        <v>0</v>
      </c>
    </row>
    <row r="19" spans="1:17" ht="33.75" customHeight="1">
      <c r="A19" s="84" t="str">
        <f>'DIA 20'!A19</f>
        <v>ZN</v>
      </c>
      <c r="B19" s="24"/>
      <c r="C19" s="61"/>
      <c r="D19" s="72"/>
      <c r="E19" s="12"/>
      <c r="F19" s="12"/>
      <c r="G19" s="27"/>
      <c r="H19" s="42"/>
      <c r="I19" s="26"/>
      <c r="J19" s="14"/>
      <c r="K19" s="12"/>
      <c r="L19" s="12"/>
      <c r="M19" s="12"/>
      <c r="N19" s="37"/>
      <c r="O19" s="55">
        <f t="shared" si="3"/>
        <v>0</v>
      </c>
      <c r="P19" s="67">
        <f t="shared" si="4"/>
        <v>0</v>
      </c>
      <c r="Q19" s="68">
        <f t="shared" si="5"/>
        <v>0</v>
      </c>
    </row>
    <row r="20" spans="1:17" ht="33.75" customHeight="1">
      <c r="A20" s="84" t="str">
        <f>'DIA 20'!A20</f>
        <v>CBP-001 (BAJO PERFIL)</v>
      </c>
      <c r="B20" s="24">
        <v>50671</v>
      </c>
      <c r="C20" s="61">
        <v>171</v>
      </c>
      <c r="D20" s="72" t="s">
        <v>129</v>
      </c>
      <c r="E20" s="12" t="s">
        <v>89</v>
      </c>
      <c r="F20" s="12" t="s">
        <v>90</v>
      </c>
      <c r="G20" s="27"/>
      <c r="H20" s="42"/>
      <c r="I20" s="26"/>
      <c r="J20" s="14"/>
      <c r="K20" s="12"/>
      <c r="L20" s="12"/>
      <c r="M20" s="12"/>
      <c r="N20" s="37"/>
      <c r="O20" s="55">
        <f t="shared" si="3"/>
        <v>171</v>
      </c>
      <c r="P20" s="67">
        <f t="shared" si="4"/>
        <v>-50671</v>
      </c>
      <c r="Q20" s="68">
        <f t="shared" si="5"/>
        <v>0</v>
      </c>
    </row>
    <row r="21" spans="1:17" ht="33.75" customHeight="1">
      <c r="A21" s="84" t="str">
        <f>'DIA 20'!A21</f>
        <v>MG-105</v>
      </c>
      <c r="B21" s="24"/>
      <c r="C21" s="61"/>
      <c r="D21" s="72"/>
      <c r="E21" s="12"/>
      <c r="F21" s="12"/>
      <c r="G21" s="27"/>
      <c r="H21" s="42"/>
      <c r="I21" s="26"/>
      <c r="J21" s="14"/>
      <c r="K21" s="12"/>
      <c r="L21" s="12"/>
      <c r="M21" s="12"/>
      <c r="N21" s="37"/>
      <c r="O21" s="55">
        <f t="shared" si="3"/>
        <v>0</v>
      </c>
      <c r="P21" s="67">
        <f t="shared" si="4"/>
        <v>0</v>
      </c>
      <c r="Q21" s="68">
        <f t="shared" si="5"/>
        <v>0</v>
      </c>
    </row>
    <row r="22" spans="1:17" ht="33.75" customHeight="1">
      <c r="A22" s="84" t="str">
        <f>'DIA 20'!A22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3"/>
        <v>0</v>
      </c>
      <c r="P22" s="67">
        <f t="shared" si="4"/>
        <v>0</v>
      </c>
      <c r="Q22" s="68">
        <f t="shared" si="5"/>
        <v>0</v>
      </c>
    </row>
    <row r="23" spans="1:17" ht="33.75" customHeight="1">
      <c r="A23" s="84" t="str">
        <f>'DIA 20'!A23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3"/>
        <v>0</v>
      </c>
      <c r="P23" s="67">
        <f t="shared" si="4"/>
        <v>0</v>
      </c>
      <c r="Q23" s="68">
        <f t="shared" si="5"/>
        <v>0</v>
      </c>
    </row>
    <row r="24" spans="1:17" ht="33.75" customHeight="1">
      <c r="A24" s="84" t="str">
        <f>'DIA 20'!A24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3"/>
        <v>0</v>
      </c>
      <c r="P24" s="67">
        <f t="shared" si="4"/>
        <v>0</v>
      </c>
      <c r="Q24" s="68">
        <f t="shared" si="5"/>
        <v>0</v>
      </c>
    </row>
    <row r="25" spans="1:17" ht="33.75" customHeight="1">
      <c r="A25" s="84" t="str">
        <f>'DIA 20'!A25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3"/>
        <v>0</v>
      </c>
      <c r="P25" s="67">
        <f t="shared" si="4"/>
        <v>0</v>
      </c>
      <c r="Q25" s="68">
        <f t="shared" si="5"/>
        <v>0</v>
      </c>
    </row>
    <row r="26" spans="1:17" ht="33.75" customHeight="1">
      <c r="A26" s="84" t="str">
        <f>'DIA 20'!A26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ref="O26" si="6">J26+C26</f>
        <v>0</v>
      </c>
      <c r="P26" s="67">
        <f t="shared" ref="P26" si="7">G26-B26</f>
        <v>0</v>
      </c>
      <c r="Q26" s="68">
        <f t="shared" ref="Q26" si="8">N26-I26</f>
        <v>0</v>
      </c>
    </row>
    <row r="27" spans="1:17" ht="33.75" customHeight="1">
      <c r="A27" s="84" t="str">
        <f>'DIA 20'!A27</f>
        <v>MG-086</v>
      </c>
      <c r="B27" s="24"/>
      <c r="C27" s="60">
        <v>56</v>
      </c>
      <c r="D27" s="71" t="s">
        <v>95</v>
      </c>
      <c r="E27" s="17" t="s">
        <v>89</v>
      </c>
      <c r="F27" s="12" t="s">
        <v>90</v>
      </c>
      <c r="G27" s="25"/>
      <c r="H27" s="42"/>
      <c r="I27" s="26"/>
      <c r="J27" s="16"/>
      <c r="K27" s="13"/>
      <c r="L27" s="13"/>
      <c r="M27" s="13"/>
      <c r="N27" s="41"/>
      <c r="O27" s="55">
        <f t="shared" ref="O27:O34" si="9">J27+C27</f>
        <v>56</v>
      </c>
      <c r="P27" s="67">
        <f t="shared" si="1"/>
        <v>0</v>
      </c>
      <c r="Q27" s="68">
        <f t="shared" si="2"/>
        <v>0</v>
      </c>
    </row>
    <row r="28" spans="1:17" ht="33.75" customHeight="1">
      <c r="A28" s="84" t="str">
        <f>'DIA 20'!A28</f>
        <v>MG-111</v>
      </c>
      <c r="B28" s="24"/>
      <c r="C28" s="62"/>
      <c r="D28" s="57"/>
      <c r="E28" s="13"/>
      <c r="F28" s="12"/>
      <c r="G28" s="28"/>
      <c r="H28" s="42"/>
      <c r="I28" s="26"/>
      <c r="J28" s="15"/>
      <c r="K28" s="13"/>
      <c r="L28" s="13"/>
      <c r="M28" s="13"/>
      <c r="N28" s="38"/>
      <c r="O28" s="55">
        <f t="shared" si="9"/>
        <v>0</v>
      </c>
      <c r="P28" s="67">
        <f t="shared" si="1"/>
        <v>0</v>
      </c>
      <c r="Q28" s="68">
        <f t="shared" si="2"/>
        <v>0</v>
      </c>
    </row>
    <row r="29" spans="1:17" ht="33.75" customHeight="1">
      <c r="A29" s="84" t="str">
        <f>'DIA 20'!A29</f>
        <v>MG-120</v>
      </c>
      <c r="B29" s="24"/>
      <c r="C29" s="62"/>
      <c r="D29" s="57"/>
      <c r="E29" s="13"/>
      <c r="F29" s="12"/>
      <c r="G29" s="28"/>
      <c r="H29" s="42"/>
      <c r="I29" s="26"/>
      <c r="J29" s="15"/>
      <c r="K29" s="13"/>
      <c r="L29" s="13"/>
      <c r="M29" s="13"/>
      <c r="N29" s="37"/>
      <c r="O29" s="55">
        <f t="shared" si="9"/>
        <v>0</v>
      </c>
      <c r="P29" s="67">
        <f t="shared" si="1"/>
        <v>0</v>
      </c>
      <c r="Q29" s="68">
        <f t="shared" si="2"/>
        <v>0</v>
      </c>
    </row>
    <row r="30" spans="1:17" ht="33.75" customHeight="1">
      <c r="A30" s="84" t="str">
        <f>'DIA 20'!A30</f>
        <v>PROSERMIN</v>
      </c>
      <c r="B30" s="24"/>
      <c r="C30" s="62">
        <v>723</v>
      </c>
      <c r="D30" s="57"/>
      <c r="E30" s="13"/>
      <c r="F30" s="12"/>
      <c r="G30" s="28"/>
      <c r="H30" s="42"/>
      <c r="I30" s="26"/>
      <c r="J30" s="15">
        <v>117</v>
      </c>
      <c r="K30" s="13"/>
      <c r="L30" s="13"/>
      <c r="M30" s="13"/>
      <c r="N30" s="37"/>
      <c r="O30" s="55">
        <f t="shared" si="9"/>
        <v>840</v>
      </c>
      <c r="P30" s="67">
        <f t="shared" si="1"/>
        <v>0</v>
      </c>
      <c r="Q30" s="68">
        <f t="shared" si="2"/>
        <v>0</v>
      </c>
    </row>
    <row r="31" spans="1:17" ht="33.75" customHeight="1">
      <c r="A31" s="84" t="str">
        <f>'DIA 20'!A31</f>
        <v>ST-060</v>
      </c>
      <c r="B31" s="24"/>
      <c r="C31" s="60"/>
      <c r="D31" s="71"/>
      <c r="E31" s="17"/>
      <c r="F31" s="17"/>
      <c r="G31" s="25"/>
      <c r="H31" s="42"/>
      <c r="I31" s="26"/>
      <c r="J31" s="15"/>
      <c r="K31" s="13"/>
      <c r="L31" s="13"/>
      <c r="M31" s="13"/>
      <c r="N31" s="37"/>
      <c r="O31" s="55">
        <f t="shared" si="9"/>
        <v>0</v>
      </c>
      <c r="P31" s="67">
        <f t="shared" ref="P31:P33" si="10">G31-B31</f>
        <v>0</v>
      </c>
      <c r="Q31" s="68">
        <f t="shared" ref="Q31:Q33" si="11">N31-I31</f>
        <v>0</v>
      </c>
    </row>
    <row r="32" spans="1:17" ht="33.75" customHeight="1">
      <c r="A32" s="84" t="str">
        <f>'DIA 20'!A32</f>
        <v>ST-53</v>
      </c>
      <c r="B32" s="24"/>
      <c r="C32" s="60"/>
      <c r="D32" s="71"/>
      <c r="E32" s="17"/>
      <c r="F32" s="17"/>
      <c r="G32" s="25"/>
      <c r="H32" s="42"/>
      <c r="I32" s="26"/>
      <c r="J32" s="15"/>
      <c r="K32" s="13"/>
      <c r="L32" s="13"/>
      <c r="M32" s="13"/>
      <c r="N32" s="37"/>
      <c r="O32" s="55">
        <f t="shared" si="9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20'!A33</f>
        <v>ST-039</v>
      </c>
      <c r="B33" s="24">
        <v>9621.2000000000007</v>
      </c>
      <c r="C33" s="60">
        <v>136</v>
      </c>
      <c r="D33" s="71" t="s">
        <v>105</v>
      </c>
      <c r="E33" s="17" t="s">
        <v>89</v>
      </c>
      <c r="F33" s="17" t="s">
        <v>90</v>
      </c>
      <c r="G33" s="25"/>
      <c r="H33" s="43"/>
      <c r="I33" s="26"/>
      <c r="J33" s="15"/>
      <c r="K33" s="13"/>
      <c r="L33" s="13"/>
      <c r="M33" s="13"/>
      <c r="N33" s="41"/>
      <c r="O33" s="55">
        <f t="shared" si="9"/>
        <v>136</v>
      </c>
      <c r="P33" s="67">
        <f t="shared" si="10"/>
        <v>-9621.2000000000007</v>
      </c>
      <c r="Q33" s="68">
        <f t="shared" si="11"/>
        <v>0</v>
      </c>
    </row>
    <row r="34" spans="1:21" ht="33.75" customHeight="1" thickBot="1">
      <c r="A34" s="84" t="str">
        <f>'DIA 20'!A34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 t="shared" si="9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1289</v>
      </c>
      <c r="D35" s="10"/>
      <c r="E35" s="11"/>
      <c r="F35" s="11"/>
      <c r="G35" s="11"/>
      <c r="H35" s="11"/>
      <c r="I35" s="11"/>
      <c r="J35" s="59">
        <f>SUM(J7:J34)</f>
        <v>462</v>
      </c>
      <c r="K35" s="50"/>
      <c r="L35" s="50"/>
      <c r="M35" s="49"/>
      <c r="N35" s="49"/>
      <c r="O35" s="85">
        <f>C35+J35</f>
        <v>1751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Q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58" priority="1" operator="containsText" text="NO TRABAJO">
      <formula>NOT(ISERROR(SEARCH("NO TRABAJO",O7)))</formula>
    </cfRule>
    <cfRule type="containsText" dxfId="57" priority="2" operator="containsText" text="FUERA DE SERVICIO">
      <formula>NOT(ISERROR(SEARCH("FUERA DE SERVICIO",O7)))</formula>
    </cfRule>
    <cfRule type="containsText" dxfId="56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E6F1-F85E-4432-BA73-48E9E8C71414}">
  <sheetPr>
    <pageSetUpPr fitToPage="1"/>
  </sheetPr>
  <dimension ref="A1:U56"/>
  <sheetViews>
    <sheetView showGridLines="0" view="pageBreakPreview" topLeftCell="A5" zoomScale="50" zoomScaleNormal="100" zoomScaleSheetLayoutView="50" workbookViewId="0">
      <selection activeCell="O7" sqref="O7:Q23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21'!Q2+O2</f>
        <v>16671</v>
      </c>
      <c r="Q2" s="160">
        <f>P2-O35</f>
        <v>16671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64"/>
      <c r="P4" s="165"/>
      <c r="Q4" s="166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2"/>
      <c r="P5" s="193"/>
      <c r="Q5" s="194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21'!O6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21'!A7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21'!A8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23" si="3">J8+C8</f>
        <v>0</v>
      </c>
      <c r="P8" s="67">
        <f t="shared" ref="P8:P23" si="4">G8-B8</f>
        <v>0</v>
      </c>
      <c r="Q8" s="68">
        <f t="shared" ref="Q8:Q23" si="5">N8-I8</f>
        <v>0</v>
      </c>
    </row>
    <row r="9" spans="1:17" ht="33.75" customHeight="1">
      <c r="A9" s="84" t="str">
        <f>'DIA 21'!A9</f>
        <v>ST-036 R1300</v>
      </c>
      <c r="B9" s="24"/>
      <c r="C9" s="61"/>
      <c r="D9" s="72"/>
      <c r="E9" s="12"/>
      <c r="F9" s="12"/>
      <c r="G9" s="27"/>
      <c r="H9" s="42"/>
      <c r="I9" s="26"/>
      <c r="J9" s="14"/>
      <c r="K9" s="12"/>
      <c r="L9" s="12"/>
      <c r="M9" s="12"/>
      <c r="N9" s="37"/>
      <c r="O9" s="55">
        <f t="shared" si="3"/>
        <v>0</v>
      </c>
      <c r="P9" s="67">
        <f t="shared" si="4"/>
        <v>0</v>
      </c>
      <c r="Q9" s="68">
        <f t="shared" si="5"/>
        <v>0</v>
      </c>
    </row>
    <row r="10" spans="1:17" ht="33.75" customHeight="1">
      <c r="A10" s="84" t="str">
        <f>'DIA 21'!A10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si="3"/>
        <v>0</v>
      </c>
      <c r="P10" s="67">
        <f t="shared" si="4"/>
        <v>0</v>
      </c>
      <c r="Q10" s="68">
        <f t="shared" si="5"/>
        <v>0</v>
      </c>
    </row>
    <row r="11" spans="1:17" ht="33.75" customHeight="1">
      <c r="A11" s="84" t="str">
        <f>'DIA 21'!A11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3"/>
        <v>0</v>
      </c>
      <c r="P11" s="67">
        <f t="shared" si="4"/>
        <v>0</v>
      </c>
      <c r="Q11" s="68">
        <f t="shared" si="5"/>
        <v>0</v>
      </c>
    </row>
    <row r="12" spans="1:17" ht="33.75" customHeight="1">
      <c r="A12" s="84" t="str">
        <f>'DIA 21'!A12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3"/>
        <v>0</v>
      </c>
      <c r="P12" s="67">
        <f t="shared" si="4"/>
        <v>0</v>
      </c>
      <c r="Q12" s="68">
        <f t="shared" si="5"/>
        <v>0</v>
      </c>
    </row>
    <row r="13" spans="1:17" ht="33.75" customHeight="1">
      <c r="A13" s="84" t="str">
        <f>'DIA 21'!A13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3"/>
        <v>0</v>
      </c>
      <c r="P13" s="67">
        <f t="shared" si="4"/>
        <v>0</v>
      </c>
      <c r="Q13" s="68">
        <f t="shared" si="5"/>
        <v>0</v>
      </c>
    </row>
    <row r="14" spans="1:17" ht="33.75" customHeight="1">
      <c r="A14" s="84" t="str">
        <f>'DIA 21'!A14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3"/>
        <v>0</v>
      </c>
      <c r="P14" s="67">
        <f t="shared" si="4"/>
        <v>0</v>
      </c>
      <c r="Q14" s="68">
        <f t="shared" si="5"/>
        <v>0</v>
      </c>
    </row>
    <row r="15" spans="1:17" ht="33.75" customHeight="1">
      <c r="A15" s="84" t="str">
        <f>'DIA 21'!A15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si="3"/>
        <v>0</v>
      </c>
      <c r="P15" s="67">
        <f t="shared" si="4"/>
        <v>0</v>
      </c>
      <c r="Q15" s="68">
        <f t="shared" si="5"/>
        <v>0</v>
      </c>
    </row>
    <row r="16" spans="1:17" ht="33.75" customHeight="1">
      <c r="A16" s="84" t="str">
        <f>'DIA 21'!A16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3"/>
        <v>0</v>
      </c>
      <c r="P16" s="67">
        <f t="shared" si="4"/>
        <v>0</v>
      </c>
      <c r="Q16" s="68">
        <f t="shared" si="5"/>
        <v>0</v>
      </c>
    </row>
    <row r="17" spans="1:17" ht="33.75" customHeight="1">
      <c r="A17" s="84" t="str">
        <f>'DIA 21'!A17</f>
        <v>RE-009 (RETROEXCAVADORA)</v>
      </c>
      <c r="B17" s="24"/>
      <c r="C17" s="61"/>
      <c r="D17" s="72"/>
      <c r="E17" s="12"/>
      <c r="F17" s="12"/>
      <c r="G17" s="27"/>
      <c r="H17" s="42"/>
      <c r="I17" s="26"/>
      <c r="J17" s="14"/>
      <c r="K17" s="12"/>
      <c r="L17" s="12"/>
      <c r="M17" s="12"/>
      <c r="N17" s="37"/>
      <c r="O17" s="55">
        <f t="shared" si="3"/>
        <v>0</v>
      </c>
      <c r="P17" s="67">
        <f t="shared" si="4"/>
        <v>0</v>
      </c>
      <c r="Q17" s="68">
        <f t="shared" si="5"/>
        <v>0</v>
      </c>
    </row>
    <row r="18" spans="1:17" ht="33.75" customHeight="1">
      <c r="A18" s="84" t="str">
        <f>'DIA 21'!A18</f>
        <v>RE-010 (RETROEXCAVADORA)</v>
      </c>
      <c r="B18" s="24"/>
      <c r="C18" s="61"/>
      <c r="D18" s="72"/>
      <c r="E18" s="12"/>
      <c r="F18" s="12"/>
      <c r="G18" s="27"/>
      <c r="H18" s="42"/>
      <c r="I18" s="26"/>
      <c r="J18" s="14"/>
      <c r="K18" s="12"/>
      <c r="L18" s="12"/>
      <c r="M18" s="12"/>
      <c r="N18" s="37"/>
      <c r="O18" s="55">
        <f t="shared" si="3"/>
        <v>0</v>
      </c>
      <c r="P18" s="67">
        <f t="shared" si="4"/>
        <v>0</v>
      </c>
      <c r="Q18" s="68">
        <f t="shared" si="5"/>
        <v>0</v>
      </c>
    </row>
    <row r="19" spans="1:17" ht="33.75" customHeight="1">
      <c r="A19" s="84" t="str">
        <f>'DIA 21'!A19</f>
        <v>ZN</v>
      </c>
      <c r="B19" s="24"/>
      <c r="C19" s="61"/>
      <c r="D19" s="72"/>
      <c r="E19" s="12"/>
      <c r="F19" s="12"/>
      <c r="G19" s="27"/>
      <c r="H19" s="42"/>
      <c r="I19" s="26"/>
      <c r="J19" s="14"/>
      <c r="K19" s="12"/>
      <c r="L19" s="12"/>
      <c r="M19" s="12"/>
      <c r="N19" s="37"/>
      <c r="O19" s="55">
        <f t="shared" si="3"/>
        <v>0</v>
      </c>
      <c r="P19" s="67">
        <f t="shared" si="4"/>
        <v>0</v>
      </c>
      <c r="Q19" s="68">
        <f t="shared" si="5"/>
        <v>0</v>
      </c>
    </row>
    <row r="20" spans="1:17" ht="33.75" customHeight="1">
      <c r="A20" s="84" t="str">
        <f>'DIA 21'!A20</f>
        <v>CBP-001 (BAJO PERFIL)</v>
      </c>
      <c r="B20" s="24"/>
      <c r="C20" s="61"/>
      <c r="D20" s="72"/>
      <c r="E20" s="12"/>
      <c r="F20" s="12"/>
      <c r="G20" s="27"/>
      <c r="H20" s="42"/>
      <c r="I20" s="26"/>
      <c r="J20" s="14"/>
      <c r="K20" s="12"/>
      <c r="L20" s="12"/>
      <c r="M20" s="12"/>
      <c r="N20" s="37"/>
      <c r="O20" s="55">
        <f t="shared" si="3"/>
        <v>0</v>
      </c>
      <c r="P20" s="67">
        <f t="shared" si="4"/>
        <v>0</v>
      </c>
      <c r="Q20" s="68">
        <f t="shared" si="5"/>
        <v>0</v>
      </c>
    </row>
    <row r="21" spans="1:17" ht="33.75" customHeight="1">
      <c r="A21" s="84" t="str">
        <f>'DIA 21'!A21</f>
        <v>MG-105</v>
      </c>
      <c r="B21" s="24"/>
      <c r="C21" s="61"/>
      <c r="D21" s="72"/>
      <c r="E21" s="12"/>
      <c r="F21" s="12"/>
      <c r="G21" s="27"/>
      <c r="H21" s="42"/>
      <c r="I21" s="26"/>
      <c r="J21" s="14"/>
      <c r="K21" s="12"/>
      <c r="L21" s="12"/>
      <c r="M21" s="12"/>
      <c r="N21" s="37"/>
      <c r="O21" s="55">
        <f t="shared" si="3"/>
        <v>0</v>
      </c>
      <c r="P21" s="67">
        <f t="shared" si="4"/>
        <v>0</v>
      </c>
      <c r="Q21" s="68">
        <f t="shared" si="5"/>
        <v>0</v>
      </c>
    </row>
    <row r="22" spans="1:17" ht="33.75" customHeight="1">
      <c r="A22" s="84" t="str">
        <f>'DIA 21'!A22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3"/>
        <v>0</v>
      </c>
      <c r="P22" s="67">
        <f t="shared" si="4"/>
        <v>0</v>
      </c>
      <c r="Q22" s="68">
        <f t="shared" si="5"/>
        <v>0</v>
      </c>
    </row>
    <row r="23" spans="1:17" ht="33.75" customHeight="1">
      <c r="A23" s="84" t="str">
        <f>'DIA 21'!A23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3"/>
        <v>0</v>
      </c>
      <c r="P23" s="67">
        <f t="shared" si="4"/>
        <v>0</v>
      </c>
      <c r="Q23" s="68">
        <f t="shared" si="5"/>
        <v>0</v>
      </c>
    </row>
    <row r="24" spans="1:17" ht="33.75" customHeight="1">
      <c r="A24" s="84" t="str">
        <f>'DIA 21'!A24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ref="O24:O30" si="6">J24+C24</f>
        <v>0</v>
      </c>
      <c r="P24" s="67">
        <f t="shared" ref="P24:P30" si="7">G24-B24</f>
        <v>0</v>
      </c>
      <c r="Q24" s="68">
        <f t="shared" ref="Q24:Q30" si="8">N24-I24</f>
        <v>0</v>
      </c>
    </row>
    <row r="25" spans="1:17" ht="33.75" customHeight="1">
      <c r="A25" s="84" t="str">
        <f>'DIA 21'!A25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6"/>
        <v>0</v>
      </c>
      <c r="P25" s="67">
        <f t="shared" si="7"/>
        <v>0</v>
      </c>
      <c r="Q25" s="68">
        <f t="shared" si="8"/>
        <v>0</v>
      </c>
    </row>
    <row r="26" spans="1:17" ht="33.75" customHeight="1">
      <c r="A26" s="84" t="str">
        <f>'DIA 21'!A26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6"/>
        <v>0</v>
      </c>
      <c r="P26" s="67">
        <f t="shared" si="7"/>
        <v>0</v>
      </c>
      <c r="Q26" s="68">
        <f t="shared" si="8"/>
        <v>0</v>
      </c>
    </row>
    <row r="27" spans="1:17" ht="33.75" customHeight="1">
      <c r="A27" s="84" t="str">
        <f>'DIA 21'!A27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41"/>
      <c r="O27" s="55">
        <f t="shared" si="6"/>
        <v>0</v>
      </c>
      <c r="P27" s="67">
        <f t="shared" si="7"/>
        <v>0</v>
      </c>
      <c r="Q27" s="68">
        <f t="shared" si="8"/>
        <v>0</v>
      </c>
    </row>
    <row r="28" spans="1:17" ht="33.75" customHeight="1">
      <c r="A28" s="84" t="str">
        <f>'DIA 21'!A28</f>
        <v>MG-111</v>
      </c>
      <c r="B28" s="24"/>
      <c r="C28" s="62"/>
      <c r="D28" s="57"/>
      <c r="E28" s="13"/>
      <c r="F28" s="12"/>
      <c r="G28" s="28"/>
      <c r="H28" s="42"/>
      <c r="I28" s="26"/>
      <c r="J28" s="15"/>
      <c r="K28" s="13"/>
      <c r="L28" s="13"/>
      <c r="M28" s="13"/>
      <c r="N28" s="38"/>
      <c r="O28" s="55">
        <f t="shared" si="6"/>
        <v>0</v>
      </c>
      <c r="P28" s="67">
        <f t="shared" si="7"/>
        <v>0</v>
      </c>
      <c r="Q28" s="68">
        <f t="shared" si="8"/>
        <v>0</v>
      </c>
    </row>
    <row r="29" spans="1:17" ht="33.75" customHeight="1">
      <c r="A29" s="84" t="str">
        <f>'DIA 21'!A29</f>
        <v>MG-120</v>
      </c>
      <c r="B29" s="24"/>
      <c r="C29" s="62"/>
      <c r="D29" s="57"/>
      <c r="E29" s="13"/>
      <c r="F29" s="12"/>
      <c r="G29" s="28"/>
      <c r="H29" s="42"/>
      <c r="I29" s="26"/>
      <c r="J29" s="15"/>
      <c r="K29" s="13"/>
      <c r="L29" s="13"/>
      <c r="M29" s="13"/>
      <c r="N29" s="37"/>
      <c r="O29" s="55">
        <f t="shared" si="6"/>
        <v>0</v>
      </c>
      <c r="P29" s="67">
        <f t="shared" si="7"/>
        <v>0</v>
      </c>
      <c r="Q29" s="68">
        <f t="shared" si="8"/>
        <v>0</v>
      </c>
    </row>
    <row r="30" spans="1:17" ht="33.75" customHeight="1">
      <c r="A30" s="84" t="str">
        <f>'DIA 21'!A30</f>
        <v>PROSERMIN</v>
      </c>
      <c r="B30" s="24"/>
      <c r="C30" s="62"/>
      <c r="D30" s="57"/>
      <c r="E30" s="13"/>
      <c r="F30" s="12"/>
      <c r="G30" s="28"/>
      <c r="H30" s="42"/>
      <c r="I30" s="26"/>
      <c r="J30" s="15"/>
      <c r="K30" s="13"/>
      <c r="L30" s="13"/>
      <c r="M30" s="13"/>
      <c r="N30" s="37"/>
      <c r="O30" s="55">
        <f t="shared" si="6"/>
        <v>0</v>
      </c>
      <c r="P30" s="67">
        <f t="shared" si="7"/>
        <v>0</v>
      </c>
      <c r="Q30" s="68">
        <f t="shared" si="8"/>
        <v>0</v>
      </c>
    </row>
    <row r="31" spans="1:17" ht="33.75" customHeight="1">
      <c r="A31" s="84" t="str">
        <f>'DIA 21'!A31</f>
        <v>ST-060</v>
      </c>
      <c r="B31" s="24"/>
      <c r="C31" s="62"/>
      <c r="D31" s="57"/>
      <c r="E31" s="13"/>
      <c r="F31" s="12"/>
      <c r="G31" s="28"/>
      <c r="H31" s="42"/>
      <c r="I31" s="26"/>
      <c r="J31" s="15"/>
      <c r="K31" s="13"/>
      <c r="L31" s="13"/>
      <c r="M31" s="13"/>
      <c r="N31" s="37"/>
      <c r="O31" s="55">
        <f t="shared" ref="O31:O34" si="9">J31+C31</f>
        <v>0</v>
      </c>
      <c r="P31" s="67">
        <f t="shared" ref="P31:P33" si="10">G31-B31</f>
        <v>0</v>
      </c>
      <c r="Q31" s="68">
        <f t="shared" ref="Q31:Q33" si="11">N31-I31</f>
        <v>0</v>
      </c>
    </row>
    <row r="32" spans="1:17" ht="33.75" customHeight="1">
      <c r="A32" s="84" t="str">
        <f>'DIA 21'!A32</f>
        <v>ST-53</v>
      </c>
      <c r="B32" s="24"/>
      <c r="C32" s="62"/>
      <c r="D32" s="57"/>
      <c r="E32" s="13"/>
      <c r="F32" s="12"/>
      <c r="G32" s="28"/>
      <c r="H32" s="42"/>
      <c r="I32" s="26"/>
      <c r="J32" s="15"/>
      <c r="K32" s="13"/>
      <c r="L32" s="13"/>
      <c r="M32" s="13"/>
      <c r="N32" s="37"/>
      <c r="O32" s="55">
        <f t="shared" si="9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21'!A33</f>
        <v>ST-039</v>
      </c>
      <c r="B33" s="24"/>
      <c r="C33" s="62"/>
      <c r="D33" s="57"/>
      <c r="E33" s="13"/>
      <c r="F33" s="12"/>
      <c r="G33" s="28"/>
      <c r="H33" s="43"/>
      <c r="I33" s="26"/>
      <c r="J33" s="15"/>
      <c r="K33" s="13"/>
      <c r="L33" s="13"/>
      <c r="M33" s="13"/>
      <c r="N33" s="41"/>
      <c r="O33" s="55">
        <f t="shared" si="9"/>
        <v>0</v>
      </c>
      <c r="P33" s="67">
        <f t="shared" si="10"/>
        <v>0</v>
      </c>
      <c r="Q33" s="68">
        <f t="shared" si="11"/>
        <v>0</v>
      </c>
    </row>
    <row r="34" spans="1:21" ht="33.75" customHeight="1" thickBot="1">
      <c r="A34" s="84" t="str">
        <f>'DIA 21'!A34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 t="shared" si="9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0</v>
      </c>
      <c r="D35" s="10"/>
      <c r="E35" s="11"/>
      <c r="F35" s="11"/>
      <c r="G35" s="11"/>
      <c r="H35" s="11"/>
      <c r="I35" s="11"/>
      <c r="J35" s="59">
        <f>SUM(J7:J34)</f>
        <v>0</v>
      </c>
      <c r="K35" s="50"/>
      <c r="L35" s="50"/>
      <c r="M35" s="49"/>
      <c r="N35" s="49"/>
      <c r="O35" s="85">
        <f>C35+J35</f>
        <v>0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Q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55" priority="1" operator="containsText" text="NO TRABAJO">
      <formula>NOT(ISERROR(SEARCH("NO TRABAJO",O7)))</formula>
    </cfRule>
    <cfRule type="containsText" dxfId="54" priority="2" operator="containsText" text="FUERA DE SERVICIO">
      <formula>NOT(ISERROR(SEARCH("FUERA DE SERVICIO",O7)))</formula>
    </cfRule>
    <cfRule type="containsText" dxfId="53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697E-852D-4722-9C6D-6BB94ECB4A07}">
  <sheetPr>
    <pageSetUpPr fitToPage="1"/>
  </sheetPr>
  <dimension ref="A1:U56"/>
  <sheetViews>
    <sheetView showGridLines="0" view="pageBreakPreview" topLeftCell="A5" zoomScale="50" zoomScaleNormal="100" zoomScaleSheetLayoutView="50" workbookViewId="0">
      <selection activeCell="O7" sqref="O7:Q24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22'!Q2+O2</f>
        <v>16671</v>
      </c>
      <c r="Q2" s="160">
        <f>P2-O35</f>
        <v>16671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64"/>
      <c r="P4" s="165"/>
      <c r="Q4" s="166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2"/>
      <c r="P5" s="193"/>
      <c r="Q5" s="194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22'!O6</f>
        <v>CONSUMO X DIA</v>
      </c>
      <c r="P6" s="51" t="s">
        <v>31</v>
      </c>
      <c r="Q6" s="53" t="s">
        <v>32</v>
      </c>
    </row>
    <row r="7" spans="1:17" ht="32.4" customHeight="1">
      <c r="A7" s="84" t="str">
        <f>'DIA 22'!A7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2.4" customHeight="1">
      <c r="A8" s="84" t="str">
        <f>'DIA 22'!A8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24" si="3">J8+C8</f>
        <v>0</v>
      </c>
      <c r="P8" s="67">
        <f t="shared" ref="P8:P24" si="4">G8-B8</f>
        <v>0</v>
      </c>
      <c r="Q8" s="68">
        <f t="shared" ref="Q8:Q24" si="5">N8-I8</f>
        <v>0</v>
      </c>
    </row>
    <row r="9" spans="1:17" ht="32.4" customHeight="1">
      <c r="A9" s="84" t="str">
        <f>'DIA 22'!A9</f>
        <v>ST-036 R1300</v>
      </c>
      <c r="B9" s="24"/>
      <c r="C9" s="61"/>
      <c r="D9" s="72"/>
      <c r="E9" s="12"/>
      <c r="F9" s="12"/>
      <c r="G9" s="27"/>
      <c r="H9" s="42"/>
      <c r="I9" s="26"/>
      <c r="J9" s="14"/>
      <c r="K9" s="12"/>
      <c r="L9" s="12"/>
      <c r="M9" s="12"/>
      <c r="N9" s="37"/>
      <c r="O9" s="55">
        <f t="shared" si="3"/>
        <v>0</v>
      </c>
      <c r="P9" s="67">
        <f t="shared" si="4"/>
        <v>0</v>
      </c>
      <c r="Q9" s="68">
        <f t="shared" si="5"/>
        <v>0</v>
      </c>
    </row>
    <row r="10" spans="1:17" ht="32.4" customHeight="1">
      <c r="A10" s="84" t="str">
        <f>'DIA 22'!A10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si="3"/>
        <v>0</v>
      </c>
      <c r="P10" s="67">
        <f t="shared" si="4"/>
        <v>0</v>
      </c>
      <c r="Q10" s="68">
        <f t="shared" si="5"/>
        <v>0</v>
      </c>
    </row>
    <row r="11" spans="1:17" ht="32.4" customHeight="1">
      <c r="A11" s="84" t="str">
        <f>'DIA 22'!A11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3"/>
        <v>0</v>
      </c>
      <c r="P11" s="67">
        <f t="shared" si="4"/>
        <v>0</v>
      </c>
      <c r="Q11" s="68">
        <f t="shared" si="5"/>
        <v>0</v>
      </c>
    </row>
    <row r="12" spans="1:17" ht="32.4" customHeight="1">
      <c r="A12" s="84" t="str">
        <f>'DIA 22'!A12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3"/>
        <v>0</v>
      </c>
      <c r="P12" s="67">
        <f t="shared" si="4"/>
        <v>0</v>
      </c>
      <c r="Q12" s="68">
        <f t="shared" si="5"/>
        <v>0</v>
      </c>
    </row>
    <row r="13" spans="1:17" ht="32.4" customHeight="1">
      <c r="A13" s="84" t="str">
        <f>'DIA 22'!A13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3"/>
        <v>0</v>
      </c>
      <c r="P13" s="67">
        <f t="shared" si="4"/>
        <v>0</v>
      </c>
      <c r="Q13" s="68">
        <f t="shared" si="5"/>
        <v>0</v>
      </c>
    </row>
    <row r="14" spans="1:17" ht="32.4" customHeight="1">
      <c r="A14" s="84" t="str">
        <f>'DIA 22'!A14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3"/>
        <v>0</v>
      </c>
      <c r="P14" s="67">
        <f t="shared" si="4"/>
        <v>0</v>
      </c>
      <c r="Q14" s="68">
        <f t="shared" si="5"/>
        <v>0</v>
      </c>
    </row>
    <row r="15" spans="1:17" ht="32.4" customHeight="1">
      <c r="A15" s="84" t="str">
        <f>'DIA 22'!A15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si="3"/>
        <v>0</v>
      </c>
      <c r="P15" s="67">
        <f t="shared" si="4"/>
        <v>0</v>
      </c>
      <c r="Q15" s="68">
        <f t="shared" si="5"/>
        <v>0</v>
      </c>
    </row>
    <row r="16" spans="1:17" ht="33.75" customHeight="1">
      <c r="A16" s="84" t="str">
        <f>'DIA 22'!A16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3"/>
        <v>0</v>
      </c>
      <c r="P16" s="67">
        <f t="shared" si="4"/>
        <v>0</v>
      </c>
      <c r="Q16" s="68">
        <f t="shared" si="5"/>
        <v>0</v>
      </c>
    </row>
    <row r="17" spans="1:17" ht="33.75" customHeight="1">
      <c r="A17" s="84" t="str">
        <f>'DIA 22'!A17</f>
        <v>RE-009 (RETROEXCAVADORA)</v>
      </c>
      <c r="B17" s="24"/>
      <c r="C17" s="61"/>
      <c r="D17" s="72"/>
      <c r="E17" s="12"/>
      <c r="F17" s="12"/>
      <c r="G17" s="27"/>
      <c r="H17" s="42"/>
      <c r="I17" s="26"/>
      <c r="J17" s="14"/>
      <c r="K17" s="12"/>
      <c r="L17" s="12"/>
      <c r="M17" s="12"/>
      <c r="N17" s="37"/>
      <c r="O17" s="55">
        <f t="shared" si="3"/>
        <v>0</v>
      </c>
      <c r="P17" s="67">
        <f t="shared" si="4"/>
        <v>0</v>
      </c>
      <c r="Q17" s="68">
        <f t="shared" si="5"/>
        <v>0</v>
      </c>
    </row>
    <row r="18" spans="1:17" ht="33.75" customHeight="1">
      <c r="A18" s="84" t="str">
        <f>'DIA 22'!A18</f>
        <v>RE-010 (RETROEXCAVADORA)</v>
      </c>
      <c r="B18" s="24"/>
      <c r="C18" s="61"/>
      <c r="D18" s="72"/>
      <c r="E18" s="12"/>
      <c r="F18" s="12"/>
      <c r="G18" s="27"/>
      <c r="H18" s="42"/>
      <c r="I18" s="26"/>
      <c r="J18" s="14"/>
      <c r="K18" s="12"/>
      <c r="L18" s="12"/>
      <c r="M18" s="12"/>
      <c r="N18" s="37"/>
      <c r="O18" s="55">
        <f t="shared" si="3"/>
        <v>0</v>
      </c>
      <c r="P18" s="67">
        <f t="shared" si="4"/>
        <v>0</v>
      </c>
      <c r="Q18" s="68">
        <f t="shared" si="5"/>
        <v>0</v>
      </c>
    </row>
    <row r="19" spans="1:17" ht="33.75" customHeight="1">
      <c r="A19" s="84" t="str">
        <f>'DIA 22'!A19</f>
        <v>ZN</v>
      </c>
      <c r="B19" s="24"/>
      <c r="C19" s="61"/>
      <c r="D19" s="72"/>
      <c r="E19" s="12"/>
      <c r="F19" s="12"/>
      <c r="G19" s="27"/>
      <c r="H19" s="42"/>
      <c r="I19" s="26"/>
      <c r="J19" s="14"/>
      <c r="K19" s="12"/>
      <c r="L19" s="12"/>
      <c r="M19" s="12"/>
      <c r="N19" s="37"/>
      <c r="O19" s="55">
        <f t="shared" si="3"/>
        <v>0</v>
      </c>
      <c r="P19" s="67">
        <f t="shared" si="4"/>
        <v>0</v>
      </c>
      <c r="Q19" s="68">
        <f t="shared" si="5"/>
        <v>0</v>
      </c>
    </row>
    <row r="20" spans="1:17" ht="33.75" customHeight="1">
      <c r="A20" s="84" t="str">
        <f>'DIA 22'!A20</f>
        <v>CBP-001 (BAJO PERFIL)</v>
      </c>
      <c r="B20" s="24"/>
      <c r="C20" s="61"/>
      <c r="D20" s="72"/>
      <c r="E20" s="12"/>
      <c r="F20" s="12"/>
      <c r="G20" s="27"/>
      <c r="H20" s="42"/>
      <c r="I20" s="26"/>
      <c r="J20" s="14"/>
      <c r="K20" s="12"/>
      <c r="L20" s="12"/>
      <c r="M20" s="12"/>
      <c r="N20" s="37"/>
      <c r="O20" s="55">
        <f t="shared" si="3"/>
        <v>0</v>
      </c>
      <c r="P20" s="67">
        <f t="shared" si="4"/>
        <v>0</v>
      </c>
      <c r="Q20" s="68">
        <f t="shared" si="5"/>
        <v>0</v>
      </c>
    </row>
    <row r="21" spans="1:17" ht="33.75" customHeight="1">
      <c r="A21" s="84" t="str">
        <f>'DIA 22'!A21</f>
        <v>MG-105</v>
      </c>
      <c r="B21" s="24"/>
      <c r="C21" s="61"/>
      <c r="D21" s="72"/>
      <c r="E21" s="12"/>
      <c r="F21" s="12"/>
      <c r="G21" s="27"/>
      <c r="H21" s="42"/>
      <c r="I21" s="26"/>
      <c r="J21" s="14"/>
      <c r="K21" s="12"/>
      <c r="L21" s="12"/>
      <c r="M21" s="12"/>
      <c r="N21" s="37"/>
      <c r="O21" s="55">
        <f t="shared" si="3"/>
        <v>0</v>
      </c>
      <c r="P21" s="67">
        <f t="shared" si="4"/>
        <v>0</v>
      </c>
      <c r="Q21" s="68">
        <f t="shared" si="5"/>
        <v>0</v>
      </c>
    </row>
    <row r="22" spans="1:17" ht="33.75" customHeight="1">
      <c r="A22" s="84" t="str">
        <f>'DIA 22'!A22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3"/>
        <v>0</v>
      </c>
      <c r="P22" s="67">
        <f t="shared" si="4"/>
        <v>0</v>
      </c>
      <c r="Q22" s="68">
        <f t="shared" si="5"/>
        <v>0</v>
      </c>
    </row>
    <row r="23" spans="1:17" ht="33.75" customHeight="1">
      <c r="A23" s="84" t="str">
        <f>'DIA 22'!A23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3"/>
        <v>0</v>
      </c>
      <c r="P23" s="67">
        <f t="shared" si="4"/>
        <v>0</v>
      </c>
      <c r="Q23" s="68">
        <f t="shared" si="5"/>
        <v>0</v>
      </c>
    </row>
    <row r="24" spans="1:17" ht="33.75" customHeight="1">
      <c r="A24" s="84" t="str">
        <f>'DIA 22'!A24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3"/>
        <v>0</v>
      </c>
      <c r="P24" s="67">
        <f t="shared" si="4"/>
        <v>0</v>
      </c>
      <c r="Q24" s="68">
        <f t="shared" si="5"/>
        <v>0</v>
      </c>
    </row>
    <row r="25" spans="1:17" ht="33.75" customHeight="1">
      <c r="A25" s="84" t="str">
        <f>'DIA 22'!A25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ref="O25:O30" si="6">J25+C25</f>
        <v>0</v>
      </c>
      <c r="P25" s="67">
        <f t="shared" ref="P25:P30" si="7">G25-B25</f>
        <v>0</v>
      </c>
      <c r="Q25" s="68">
        <f t="shared" ref="Q25:Q30" si="8">N25-I25</f>
        <v>0</v>
      </c>
    </row>
    <row r="26" spans="1:17" ht="33.75" customHeight="1">
      <c r="A26" s="84" t="str">
        <f>'DIA 22'!A26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6"/>
        <v>0</v>
      </c>
      <c r="P26" s="67">
        <f t="shared" si="7"/>
        <v>0</v>
      </c>
      <c r="Q26" s="68">
        <f t="shared" si="8"/>
        <v>0</v>
      </c>
    </row>
    <row r="27" spans="1:17" ht="33.75" customHeight="1">
      <c r="A27" s="84" t="str">
        <f>'DIA 22'!A27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41"/>
      <c r="O27" s="55">
        <f t="shared" si="6"/>
        <v>0</v>
      </c>
      <c r="P27" s="67">
        <f t="shared" si="7"/>
        <v>0</v>
      </c>
      <c r="Q27" s="68">
        <f t="shared" si="8"/>
        <v>0</v>
      </c>
    </row>
    <row r="28" spans="1:17" ht="33.75" customHeight="1">
      <c r="A28" s="84" t="str">
        <f>'DIA 22'!A28</f>
        <v>MG-111</v>
      </c>
      <c r="B28" s="24"/>
      <c r="C28" s="62"/>
      <c r="D28" s="57"/>
      <c r="E28" s="13"/>
      <c r="F28" s="12"/>
      <c r="G28" s="28"/>
      <c r="H28" s="42"/>
      <c r="I28" s="26"/>
      <c r="J28" s="15"/>
      <c r="K28" s="13"/>
      <c r="L28" s="13"/>
      <c r="M28" s="13"/>
      <c r="N28" s="38"/>
      <c r="O28" s="55">
        <f t="shared" si="6"/>
        <v>0</v>
      </c>
      <c r="P28" s="67">
        <f t="shared" si="7"/>
        <v>0</v>
      </c>
      <c r="Q28" s="68">
        <f t="shared" si="8"/>
        <v>0</v>
      </c>
    </row>
    <row r="29" spans="1:17" ht="33.75" customHeight="1">
      <c r="A29" s="84" t="str">
        <f>'DIA 22'!A29</f>
        <v>MG-120</v>
      </c>
      <c r="B29" s="24"/>
      <c r="C29" s="62"/>
      <c r="D29" s="57"/>
      <c r="E29" s="13"/>
      <c r="F29" s="12"/>
      <c r="G29" s="28"/>
      <c r="H29" s="42"/>
      <c r="I29" s="26"/>
      <c r="J29" s="16"/>
      <c r="K29" s="13"/>
      <c r="L29" s="13"/>
      <c r="M29" s="13"/>
      <c r="N29" s="41"/>
      <c r="O29" s="55">
        <f t="shared" si="6"/>
        <v>0</v>
      </c>
      <c r="P29" s="67">
        <f t="shared" si="7"/>
        <v>0</v>
      </c>
      <c r="Q29" s="68">
        <f t="shared" si="8"/>
        <v>0</v>
      </c>
    </row>
    <row r="30" spans="1:17" ht="33.75" customHeight="1">
      <c r="A30" s="84" t="str">
        <f>'DIA 22'!A30</f>
        <v>PROSERMIN</v>
      </c>
      <c r="B30" s="24"/>
      <c r="C30" s="62"/>
      <c r="D30" s="57"/>
      <c r="E30" s="13"/>
      <c r="F30" s="12"/>
      <c r="G30" s="28"/>
      <c r="H30" s="42"/>
      <c r="I30" s="26"/>
      <c r="J30" s="15"/>
      <c r="K30" s="13"/>
      <c r="L30" s="13"/>
      <c r="M30" s="13"/>
      <c r="N30" s="38"/>
      <c r="O30" s="55">
        <f t="shared" si="6"/>
        <v>0</v>
      </c>
      <c r="P30" s="67">
        <f t="shared" si="7"/>
        <v>0</v>
      </c>
      <c r="Q30" s="68">
        <f t="shared" si="8"/>
        <v>0</v>
      </c>
    </row>
    <row r="31" spans="1:17" ht="33.75" customHeight="1">
      <c r="A31" s="84" t="str">
        <f>'DIA 22'!A31</f>
        <v>ST-060</v>
      </c>
      <c r="B31" s="24"/>
      <c r="C31" s="62"/>
      <c r="D31" s="57"/>
      <c r="E31" s="13"/>
      <c r="F31" s="12"/>
      <c r="G31" s="28"/>
      <c r="H31" s="42"/>
      <c r="I31" s="26"/>
      <c r="J31" s="16"/>
      <c r="K31" s="13"/>
      <c r="L31" s="13"/>
      <c r="M31" s="13"/>
      <c r="N31" s="41"/>
      <c r="O31" s="55">
        <f t="shared" ref="O31:O34" si="9">J31+C31</f>
        <v>0</v>
      </c>
      <c r="P31" s="67">
        <f t="shared" ref="P31:P33" si="10">G31-B31</f>
        <v>0</v>
      </c>
      <c r="Q31" s="68">
        <f t="shared" ref="Q31:Q33" si="11">N31-I31</f>
        <v>0</v>
      </c>
    </row>
    <row r="32" spans="1:17" ht="33.75" customHeight="1">
      <c r="A32" s="84" t="str">
        <f>'DIA 22'!A32</f>
        <v>ST-53</v>
      </c>
      <c r="B32" s="24"/>
      <c r="C32" s="62"/>
      <c r="D32" s="57"/>
      <c r="E32" s="13"/>
      <c r="F32" s="12"/>
      <c r="G32" s="28"/>
      <c r="H32" s="42"/>
      <c r="I32" s="26"/>
      <c r="J32" s="15"/>
      <c r="K32" s="13"/>
      <c r="L32" s="13"/>
      <c r="M32" s="13"/>
      <c r="N32" s="38"/>
      <c r="O32" s="55">
        <f t="shared" si="9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22'!A33</f>
        <v>ST-039</v>
      </c>
      <c r="B33" s="24"/>
      <c r="C33" s="62"/>
      <c r="D33" s="57"/>
      <c r="E33" s="13"/>
      <c r="F33" s="12"/>
      <c r="G33" s="28"/>
      <c r="H33" s="43"/>
      <c r="I33" s="26"/>
      <c r="J33" s="16"/>
      <c r="K33" s="13"/>
      <c r="L33" s="13"/>
      <c r="M33" s="13"/>
      <c r="N33" s="41"/>
      <c r="O33" s="55">
        <f t="shared" si="9"/>
        <v>0</v>
      </c>
      <c r="P33" s="67">
        <f t="shared" si="10"/>
        <v>0</v>
      </c>
      <c r="Q33" s="68">
        <f t="shared" si="11"/>
        <v>0</v>
      </c>
    </row>
    <row r="34" spans="1:21" ht="33.75" customHeight="1" thickBot="1">
      <c r="A34" s="84" t="str">
        <f>'DIA 22'!A34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 t="shared" si="9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0</v>
      </c>
      <c r="D35" s="10"/>
      <c r="E35" s="11"/>
      <c r="F35" s="11"/>
      <c r="G35" s="11"/>
      <c r="H35" s="11"/>
      <c r="I35" s="11"/>
      <c r="J35" s="59">
        <f>SUM(J7:J34)</f>
        <v>0</v>
      </c>
      <c r="K35" s="50"/>
      <c r="L35" s="50"/>
      <c r="M35" s="49"/>
      <c r="N35" s="49"/>
      <c r="O35" s="85">
        <f>C35+J35</f>
        <v>0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Q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52" priority="1" operator="containsText" text="NO TRABAJO">
      <formula>NOT(ISERROR(SEARCH("NO TRABAJO",O7)))</formula>
    </cfRule>
    <cfRule type="containsText" dxfId="51" priority="2" operator="containsText" text="FUERA DE SERVICIO">
      <formula>NOT(ISERROR(SEARCH("FUERA DE SERVICIO",O7)))</formula>
    </cfRule>
    <cfRule type="containsText" dxfId="50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D0B8-F33C-41F4-B2FF-CBB8115FED81}">
  <sheetPr>
    <pageSetUpPr fitToPage="1"/>
  </sheetPr>
  <dimension ref="A1:H58"/>
  <sheetViews>
    <sheetView showGridLines="0" view="pageBreakPreview" topLeftCell="A16" zoomScale="110" zoomScaleNormal="100" zoomScaleSheetLayoutView="110" workbookViewId="0">
      <selection activeCell="F31" sqref="F31"/>
    </sheetView>
  </sheetViews>
  <sheetFormatPr baseColWidth="10" defaultRowHeight="14.4"/>
  <cols>
    <col min="1" max="1" width="12.33203125" style="11" customWidth="1"/>
    <col min="2" max="2" width="27.5546875" customWidth="1"/>
    <col min="3" max="3" width="22" customWidth="1"/>
    <col min="4" max="4" width="22.5546875" customWidth="1"/>
    <col min="5" max="5" width="7" customWidth="1"/>
    <col min="6" max="6" width="15.88671875" customWidth="1"/>
    <col min="7" max="7" width="23" customWidth="1"/>
  </cols>
  <sheetData>
    <row r="1" spans="1:6" ht="42.6" customHeight="1">
      <c r="A1" s="195" t="s">
        <v>48</v>
      </c>
      <c r="B1" s="196"/>
      <c r="C1" s="196"/>
      <c r="D1" s="197"/>
    </row>
    <row r="2" spans="1:6" ht="18.600000000000001" customHeight="1" thickBot="1">
      <c r="A2" s="198"/>
      <c r="B2" s="199"/>
      <c r="C2" s="199"/>
      <c r="D2" s="200"/>
    </row>
    <row r="3" spans="1:6" ht="16.2" thickBot="1">
      <c r="A3" s="87" t="s">
        <v>3</v>
      </c>
      <c r="B3" s="88" t="s">
        <v>46</v>
      </c>
      <c r="C3" s="89" t="s">
        <v>47</v>
      </c>
      <c r="D3" s="90" t="s">
        <v>49</v>
      </c>
    </row>
    <row r="4" spans="1:6" ht="15" customHeight="1">
      <c r="A4" s="91">
        <v>1</v>
      </c>
      <c r="B4" s="93">
        <f>'DIA 01'!$O$35</f>
        <v>1553</v>
      </c>
      <c r="C4" s="94">
        <f>'DIA 01'!$O$2</f>
        <v>2100</v>
      </c>
      <c r="D4" s="95">
        <f>'DIA 01'!$Q$2</f>
        <v>11756</v>
      </c>
      <c r="F4" s="148" t="s">
        <v>75</v>
      </c>
    </row>
    <row r="5" spans="1:6" ht="15" customHeight="1">
      <c r="A5" s="91">
        <v>2</v>
      </c>
      <c r="B5" s="93">
        <f>'DIA 02'!$O$35</f>
        <v>1718</v>
      </c>
      <c r="C5" s="94">
        <f>'DIA 02'!$O$2</f>
        <v>0</v>
      </c>
      <c r="D5" s="95">
        <f>'DIA 02'!$Q$2</f>
        <v>10038</v>
      </c>
    </row>
    <row r="6" spans="1:6" ht="15" customHeight="1">
      <c r="A6" s="91">
        <v>3</v>
      </c>
      <c r="B6" s="93">
        <f>'DIA 03'!$O$35</f>
        <v>1808</v>
      </c>
      <c r="C6" s="94">
        <f>'DIA 03'!$O$2</f>
        <v>2137</v>
      </c>
      <c r="D6" s="95">
        <f>'DIA 03'!$Q$2</f>
        <v>10367</v>
      </c>
      <c r="F6" s="148" t="s">
        <v>75</v>
      </c>
    </row>
    <row r="7" spans="1:6" ht="15" customHeight="1">
      <c r="A7" s="91">
        <v>4</v>
      </c>
      <c r="B7" s="93">
        <f>'DIA 04'!$O$35</f>
        <v>1281</v>
      </c>
      <c r="C7" s="94">
        <f>'DIA 04'!$O$2</f>
        <v>0</v>
      </c>
      <c r="D7" s="95">
        <f>'DIA 04'!$Q$2</f>
        <v>9086</v>
      </c>
    </row>
    <row r="8" spans="1:6" ht="15" customHeight="1">
      <c r="A8" s="91">
        <v>5</v>
      </c>
      <c r="B8" s="93">
        <f>'DIA 05'!$O$35</f>
        <v>1183</v>
      </c>
      <c r="C8" s="94">
        <f>'DIA 05'!$O$2</f>
        <v>0</v>
      </c>
      <c r="D8" s="95">
        <f>'DIA 05'!$Q$2</f>
        <v>7903</v>
      </c>
    </row>
    <row r="9" spans="1:6" ht="15" customHeight="1">
      <c r="A9" s="91">
        <v>6</v>
      </c>
      <c r="B9" s="93">
        <f>'DIA 06'!$O$35</f>
        <v>1576</v>
      </c>
      <c r="C9" s="94">
        <f>'DIA 06'!$O$2</f>
        <v>2191</v>
      </c>
      <c r="D9" s="95">
        <f>'DIA 06'!$Q$2</f>
        <v>8518</v>
      </c>
      <c r="F9" s="148" t="s">
        <v>75</v>
      </c>
    </row>
    <row r="10" spans="1:6" ht="15" customHeight="1">
      <c r="A10" s="91">
        <v>7</v>
      </c>
      <c r="B10" s="93">
        <f>'DIA 07'!$O$35</f>
        <v>1155</v>
      </c>
      <c r="C10" s="94">
        <f>'DIA 07'!$O$2</f>
        <v>0</v>
      </c>
      <c r="D10" s="95">
        <f>'DIA 07'!$Q$2</f>
        <v>7363</v>
      </c>
    </row>
    <row r="11" spans="1:6" ht="15" customHeight="1">
      <c r="A11" s="91">
        <v>8</v>
      </c>
      <c r="B11" s="93">
        <f>'DIA 08'!$O$35</f>
        <v>1273</v>
      </c>
      <c r="C11" s="94">
        <f>'DIA 08'!$O$2</f>
        <v>1750</v>
      </c>
      <c r="D11" s="95">
        <f>'DIA 08'!$Q$2</f>
        <v>7840</v>
      </c>
      <c r="F11" s="148" t="s">
        <v>75</v>
      </c>
    </row>
    <row r="12" spans="1:6" ht="15" customHeight="1">
      <c r="A12" s="91">
        <v>9</v>
      </c>
      <c r="B12" s="93">
        <f>'DIA 09'!$O$35</f>
        <v>1303</v>
      </c>
      <c r="C12" s="94">
        <f>'DIA 09'!$O$2</f>
        <v>0</v>
      </c>
      <c r="D12" s="95">
        <f>'DIA 09'!$Q$2</f>
        <v>6537</v>
      </c>
    </row>
    <row r="13" spans="1:6" ht="15" customHeight="1">
      <c r="A13" s="91">
        <v>10</v>
      </c>
      <c r="B13" s="93">
        <f>'DIA 10'!$O$35</f>
        <v>1362</v>
      </c>
      <c r="C13" s="94">
        <f>'DIA 10'!$O$2</f>
        <v>0</v>
      </c>
      <c r="D13" s="95">
        <f>'DIA 10'!$Q$2</f>
        <v>5175</v>
      </c>
    </row>
    <row r="14" spans="1:6" ht="15" customHeight="1">
      <c r="A14" s="91">
        <v>11</v>
      </c>
      <c r="B14" s="93">
        <f>'DIA 11'!$O$35</f>
        <v>1796</v>
      </c>
      <c r="C14" s="94">
        <f>'DIA 11'!$O$2</f>
        <v>15850</v>
      </c>
      <c r="D14" s="95">
        <f>'DIA 11'!$Q$2</f>
        <v>19229</v>
      </c>
      <c r="F14" s="148" t="s">
        <v>120</v>
      </c>
    </row>
    <row r="15" spans="1:6" ht="15" customHeight="1">
      <c r="A15" s="91">
        <v>12</v>
      </c>
      <c r="B15" s="93">
        <f>'DIA 12'!$O$35</f>
        <v>1785</v>
      </c>
      <c r="C15" s="94">
        <f>'DIA 12'!$O$2</f>
        <v>0</v>
      </c>
      <c r="D15" s="95">
        <f>'DIA 12'!$Q$2</f>
        <v>17444</v>
      </c>
    </row>
    <row r="16" spans="1:6" ht="15" customHeight="1">
      <c r="A16" s="91">
        <v>13</v>
      </c>
      <c r="B16" s="93">
        <f>'DIA 13'!$O$35</f>
        <v>5616</v>
      </c>
      <c r="C16" s="94">
        <f>'DIA 13'!$O$2</f>
        <v>0</v>
      </c>
      <c r="D16" s="95">
        <f>'DIA 13'!$Q$2</f>
        <v>11828</v>
      </c>
    </row>
    <row r="17" spans="1:6" ht="15" customHeight="1">
      <c r="A17" s="91">
        <v>14</v>
      </c>
      <c r="B17" s="93">
        <f>'DIA 14'!$O$35</f>
        <v>1817</v>
      </c>
      <c r="C17" s="94">
        <f>'DIA 14'!$O$2</f>
        <v>1800</v>
      </c>
      <c r="D17" s="95">
        <f>'DIA 14'!$Q$2</f>
        <v>11811</v>
      </c>
      <c r="F17" s="148" t="s">
        <v>75</v>
      </c>
    </row>
    <row r="18" spans="1:6" ht="15" customHeight="1">
      <c r="A18" s="91">
        <v>15</v>
      </c>
      <c r="B18" s="93">
        <f>'DIA 15'!$O$35</f>
        <v>1180</v>
      </c>
      <c r="C18" s="94">
        <f>'DIA 15'!$O$2</f>
        <v>0</v>
      </c>
      <c r="D18" s="95">
        <f>'DIA 15'!$Q$2</f>
        <v>10631</v>
      </c>
    </row>
    <row r="19" spans="1:6" ht="15" customHeight="1">
      <c r="A19" s="91">
        <v>16</v>
      </c>
      <c r="B19" s="93">
        <f>'DIA 16'!$O$35</f>
        <v>1423</v>
      </c>
      <c r="C19" s="94">
        <f>'DIA 16'!$O$2</f>
        <v>0</v>
      </c>
      <c r="D19" s="95">
        <f>'DIA 16'!$Q$2</f>
        <v>9208</v>
      </c>
    </row>
    <row r="20" spans="1:6" ht="15" customHeight="1">
      <c r="A20" s="91">
        <v>17</v>
      </c>
      <c r="B20" s="93">
        <f>'DIA 17'!$O$35</f>
        <v>1834</v>
      </c>
      <c r="C20" s="94">
        <f>'DIA 17'!$O$2</f>
        <v>0</v>
      </c>
      <c r="D20" s="95">
        <f>'DIA 17'!$Q$2</f>
        <v>7374</v>
      </c>
    </row>
    <row r="21" spans="1:6" ht="15" customHeight="1">
      <c r="A21" s="91">
        <v>18</v>
      </c>
      <c r="B21" s="93">
        <f>'DIA 18'!$O$35</f>
        <v>1838</v>
      </c>
      <c r="C21" s="94">
        <f>'DIA 18'!$O$2</f>
        <v>0</v>
      </c>
      <c r="D21" s="95">
        <f>'DIA 18'!$Q$2</f>
        <v>5536</v>
      </c>
    </row>
    <row r="22" spans="1:6" ht="15" customHeight="1">
      <c r="A22" s="91">
        <v>19</v>
      </c>
      <c r="B22" s="93">
        <f>'DIA 19'!$O$35</f>
        <v>1162</v>
      </c>
      <c r="C22" s="94">
        <f>'DIA 19'!$O$2</f>
        <v>1700</v>
      </c>
      <c r="D22" s="95">
        <f>'DIA 19'!$Q$2</f>
        <v>6074</v>
      </c>
      <c r="F22" s="148" t="s">
        <v>132</v>
      </c>
    </row>
    <row r="23" spans="1:6" ht="15" customHeight="1">
      <c r="A23" s="91">
        <v>20</v>
      </c>
      <c r="B23" s="93">
        <f>'DIA 20'!$O$35</f>
        <v>1652</v>
      </c>
      <c r="C23" s="94">
        <f>'DIA 20'!$O$2</f>
        <v>14000</v>
      </c>
      <c r="D23" s="95">
        <f>'DIA 20'!$Q$2</f>
        <v>18422</v>
      </c>
      <c r="F23" s="148" t="s">
        <v>134</v>
      </c>
    </row>
    <row r="24" spans="1:6" ht="15" customHeight="1">
      <c r="A24" s="91">
        <v>21</v>
      </c>
      <c r="B24" s="93">
        <f>'DIA 21'!$O$35</f>
        <v>1751</v>
      </c>
      <c r="C24" s="94">
        <f>'DIA 21'!$O$2</f>
        <v>0</v>
      </c>
      <c r="D24" s="95">
        <f>'DIA 21'!$Q$2</f>
        <v>16671</v>
      </c>
    </row>
    <row r="25" spans="1:6" ht="15" customHeight="1">
      <c r="A25" s="91">
        <v>22</v>
      </c>
      <c r="B25" s="93">
        <f>'DIA 22'!$O$35</f>
        <v>0</v>
      </c>
      <c r="C25" s="94">
        <f>'DIA 22'!$O$2</f>
        <v>0</v>
      </c>
      <c r="D25" s="95">
        <f>'DIA 22'!$Q$2</f>
        <v>16671</v>
      </c>
    </row>
    <row r="26" spans="1:6" ht="15" customHeight="1">
      <c r="A26" s="91">
        <v>23</v>
      </c>
      <c r="B26" s="93">
        <f>'DIA 23'!$O$35</f>
        <v>0</v>
      </c>
      <c r="C26" s="94">
        <f>'DIA 23'!$O$2</f>
        <v>0</v>
      </c>
      <c r="D26" s="95">
        <f>'DIA 23'!$Q$2</f>
        <v>16671</v>
      </c>
    </row>
    <row r="27" spans="1:6" ht="15" customHeight="1">
      <c r="A27" s="91">
        <v>24</v>
      </c>
      <c r="B27" s="93">
        <f>'DIA 24'!$O$35</f>
        <v>0</v>
      </c>
      <c r="C27" s="94">
        <f>'DIA 24'!$O$2</f>
        <v>0</v>
      </c>
      <c r="D27" s="95">
        <f>'DIA 24'!$Q$2</f>
        <v>16671</v>
      </c>
    </row>
    <row r="28" spans="1:6" ht="15" customHeight="1">
      <c r="A28" s="91">
        <v>25</v>
      </c>
      <c r="B28" s="93">
        <f>'DIA 25'!$O$35</f>
        <v>0</v>
      </c>
      <c r="C28" s="94">
        <f>'DIA 25'!$O$2</f>
        <v>0</v>
      </c>
      <c r="D28" s="95">
        <f>'DIA 25'!$Q$2</f>
        <v>16671</v>
      </c>
    </row>
    <row r="29" spans="1:6" ht="15" customHeight="1">
      <c r="A29" s="91">
        <v>26</v>
      </c>
      <c r="B29" s="93">
        <f>'DIA 26'!$O$35</f>
        <v>0</v>
      </c>
      <c r="C29" s="94">
        <f>'DIA 26'!$O$2</f>
        <v>0</v>
      </c>
      <c r="D29" s="95">
        <f>'DIA 26'!$Q$2</f>
        <v>16671</v>
      </c>
    </row>
    <row r="30" spans="1:6" ht="15" customHeight="1">
      <c r="A30" s="91">
        <v>27</v>
      </c>
      <c r="B30" s="93">
        <f>'DIA 27'!$O$35</f>
        <v>0</v>
      </c>
      <c r="C30" s="94">
        <f>'DIA 27'!$O$2</f>
        <v>0</v>
      </c>
      <c r="D30" s="95">
        <f>'DIA 27'!$Q$2</f>
        <v>16671</v>
      </c>
    </row>
    <row r="31" spans="1:6" ht="15" customHeight="1">
      <c r="A31" s="91">
        <v>28</v>
      </c>
      <c r="B31" s="93">
        <f>'DIA 28'!$O$35</f>
        <v>0</v>
      </c>
      <c r="C31" s="94">
        <f>'DIA 28'!$O$2</f>
        <v>0</v>
      </c>
      <c r="D31" s="95">
        <f>'DIA 28'!$Q$2</f>
        <v>16671</v>
      </c>
    </row>
    <row r="32" spans="1:6" ht="15" customHeight="1">
      <c r="A32" s="91">
        <v>29</v>
      </c>
      <c r="B32" s="93">
        <f>'DIA 29'!$O$35</f>
        <v>0</v>
      </c>
      <c r="C32" s="94">
        <f>'DIA 29'!$O$2</f>
        <v>0</v>
      </c>
      <c r="D32" s="95">
        <f>'DIA 29'!$Q$2</f>
        <v>16671</v>
      </c>
    </row>
    <row r="33" spans="1:8" ht="15" customHeight="1">
      <c r="A33" s="91">
        <v>30</v>
      </c>
      <c r="B33" s="93">
        <f>'DIA 30'!$O$35</f>
        <v>0</v>
      </c>
      <c r="C33" s="94">
        <f>'DIA 30'!$O$2</f>
        <v>0</v>
      </c>
      <c r="D33" s="95">
        <f>'DIA 30'!$Q$2</f>
        <v>16671</v>
      </c>
    </row>
    <row r="34" spans="1:8" ht="15" customHeight="1" thickBot="1">
      <c r="A34" s="92">
        <v>31</v>
      </c>
      <c r="B34" s="93">
        <f>'DIA 31'!$O$35</f>
        <v>0</v>
      </c>
      <c r="C34" s="94">
        <f>'DIA 31'!$O$2</f>
        <v>0</v>
      </c>
      <c r="D34" s="95">
        <f>'DIA 31'!$Q$2</f>
        <v>16671</v>
      </c>
    </row>
    <row r="35" spans="1:8" ht="15" customHeight="1" thickBot="1">
      <c r="A35" s="96"/>
      <c r="B35" s="96"/>
      <c r="C35" s="96"/>
      <c r="D35" s="11"/>
    </row>
    <row r="36" spans="1:8" ht="15" customHeight="1" thickBot="1">
      <c r="A36" s="97" t="s">
        <v>39</v>
      </c>
      <c r="B36" s="98">
        <f>SUM(B4:B34)</f>
        <v>36066</v>
      </c>
      <c r="C36" s="98">
        <f t="shared" ref="C36" si="0">SUM(C4:C34)</f>
        <v>41528</v>
      </c>
      <c r="D36" s="98">
        <f>D34</f>
        <v>16671</v>
      </c>
      <c r="F36" s="148" t="s">
        <v>75</v>
      </c>
      <c r="G36" s="149">
        <f>'[1]CONSUMO DE DIESEL 2026'!$AF$41</f>
        <v>2995</v>
      </c>
    </row>
    <row r="37" spans="1:8">
      <c r="A37" s="96"/>
      <c r="B37" s="96"/>
      <c r="C37" s="96"/>
      <c r="D37" s="11"/>
    </row>
    <row r="38" spans="1:8">
      <c r="A38" s="96"/>
      <c r="B38" s="96"/>
      <c r="C38" s="96"/>
      <c r="D38" s="11"/>
    </row>
    <row r="39" spans="1:8">
      <c r="A39" s="96"/>
      <c r="B39" s="96"/>
      <c r="C39" s="96"/>
      <c r="D39" s="11"/>
    </row>
    <row r="40" spans="1:8">
      <c r="A40" s="96"/>
      <c r="B40" s="96"/>
      <c r="C40" s="96"/>
      <c r="D40" s="11"/>
    </row>
    <row r="41" spans="1:8">
      <c r="A41" s="96"/>
      <c r="B41" s="96"/>
      <c r="C41" s="96"/>
      <c r="D41" s="11"/>
    </row>
    <row r="42" spans="1:8">
      <c r="A42" s="96"/>
      <c r="B42" s="96"/>
      <c r="C42" s="96"/>
    </row>
    <row r="43" spans="1:8">
      <c r="A43" s="96"/>
      <c r="B43" s="96"/>
      <c r="C43" s="96"/>
    </row>
    <row r="44" spans="1:8">
      <c r="A44" s="157"/>
      <c r="B44" s="157"/>
      <c r="C44" s="157"/>
      <c r="E44" s="157"/>
      <c r="F44" s="157"/>
      <c r="G44" s="157"/>
      <c r="H44" s="157"/>
    </row>
    <row r="45" spans="1:8">
      <c r="A45" s="157"/>
      <c r="B45" s="157"/>
      <c r="C45" s="157"/>
    </row>
    <row r="46" spans="1:8" hidden="1"/>
    <row r="47" spans="1:8" hidden="1"/>
    <row r="48" spans="1: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</sheetData>
  <mergeCells count="4">
    <mergeCell ref="A45:C45"/>
    <mergeCell ref="A44:C44"/>
    <mergeCell ref="E44:H44"/>
    <mergeCell ref="A1:D2"/>
  </mergeCells>
  <pageMargins left="0.25" right="0.25" top="0.75" bottom="0.75" header="0.3" footer="0.3"/>
  <pageSetup scale="78" fitToHeight="0" orientation="portrait" horizontalDpi="360" verticalDpi="360" r:id="rId1"/>
  <rowBreaks count="1" manualBreakCount="1">
    <brk id="41" max="6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1220-D992-4487-9BD4-A93C1E053F37}">
  <sheetPr>
    <pageSetUpPr fitToPage="1"/>
  </sheetPr>
  <dimension ref="A1:U56"/>
  <sheetViews>
    <sheetView showGridLines="0" view="pageBreakPreview" zoomScale="50" zoomScaleNormal="100" zoomScaleSheetLayoutView="50" workbookViewId="0">
      <selection activeCell="O7" sqref="O7:Q25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23'!Q2+O2</f>
        <v>16671</v>
      </c>
      <c r="Q2" s="160">
        <f>P2-O35</f>
        <v>16671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64"/>
      <c r="P4" s="165"/>
      <c r="Q4" s="166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2"/>
      <c r="P5" s="193"/>
      <c r="Q5" s="194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23'!O6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23'!A7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23'!A8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25" si="3">J8+C8</f>
        <v>0</v>
      </c>
      <c r="P8" s="67">
        <f t="shared" ref="P8:P25" si="4">G8-B8</f>
        <v>0</v>
      </c>
      <c r="Q8" s="68">
        <f t="shared" ref="Q8:Q25" si="5">N8-I8</f>
        <v>0</v>
      </c>
    </row>
    <row r="9" spans="1:17" ht="33.75" customHeight="1">
      <c r="A9" s="84" t="str">
        <f>'DIA 23'!A9</f>
        <v>ST-036 R1300</v>
      </c>
      <c r="B9" s="24"/>
      <c r="C9" s="61"/>
      <c r="D9" s="72"/>
      <c r="E9" s="12"/>
      <c r="F9" s="12"/>
      <c r="G9" s="27"/>
      <c r="H9" s="42"/>
      <c r="I9" s="26"/>
      <c r="J9" s="14"/>
      <c r="K9" s="12"/>
      <c r="L9" s="12"/>
      <c r="M9" s="12"/>
      <c r="N9" s="37"/>
      <c r="O9" s="55">
        <f t="shared" si="3"/>
        <v>0</v>
      </c>
      <c r="P9" s="67">
        <f t="shared" si="4"/>
        <v>0</v>
      </c>
      <c r="Q9" s="68">
        <f t="shared" si="5"/>
        <v>0</v>
      </c>
    </row>
    <row r="10" spans="1:17" ht="33.75" customHeight="1">
      <c r="A10" s="84" t="str">
        <f>'DIA 23'!A10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si="3"/>
        <v>0</v>
      </c>
      <c r="P10" s="67">
        <f t="shared" si="4"/>
        <v>0</v>
      </c>
      <c r="Q10" s="68">
        <f t="shared" si="5"/>
        <v>0</v>
      </c>
    </row>
    <row r="11" spans="1:17" ht="33.75" customHeight="1">
      <c r="A11" s="84" t="str">
        <f>'DIA 23'!A11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3"/>
        <v>0</v>
      </c>
      <c r="P11" s="67">
        <f t="shared" si="4"/>
        <v>0</v>
      </c>
      <c r="Q11" s="68">
        <f t="shared" si="5"/>
        <v>0</v>
      </c>
    </row>
    <row r="12" spans="1:17" ht="33.75" customHeight="1">
      <c r="A12" s="84" t="str">
        <f>'DIA 23'!A12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3"/>
        <v>0</v>
      </c>
      <c r="P12" s="67">
        <f t="shared" si="4"/>
        <v>0</v>
      </c>
      <c r="Q12" s="68">
        <f t="shared" si="5"/>
        <v>0</v>
      </c>
    </row>
    <row r="13" spans="1:17" ht="33.75" customHeight="1">
      <c r="A13" s="84" t="str">
        <f>'DIA 23'!A13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3"/>
        <v>0</v>
      </c>
      <c r="P13" s="67">
        <f t="shared" si="4"/>
        <v>0</v>
      </c>
      <c r="Q13" s="68">
        <f t="shared" si="5"/>
        <v>0</v>
      </c>
    </row>
    <row r="14" spans="1:17" ht="33.75" customHeight="1">
      <c r="A14" s="84" t="str">
        <f>'DIA 23'!A14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3"/>
        <v>0</v>
      </c>
      <c r="P14" s="67">
        <f t="shared" si="4"/>
        <v>0</v>
      </c>
      <c r="Q14" s="68">
        <f t="shared" si="5"/>
        <v>0</v>
      </c>
    </row>
    <row r="15" spans="1:17" ht="33.75" customHeight="1">
      <c r="A15" s="84" t="str">
        <f>'DIA 23'!A15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si="3"/>
        <v>0</v>
      </c>
      <c r="P15" s="67">
        <f t="shared" si="4"/>
        <v>0</v>
      </c>
      <c r="Q15" s="68">
        <f t="shared" si="5"/>
        <v>0</v>
      </c>
    </row>
    <row r="16" spans="1:17" ht="33.75" customHeight="1">
      <c r="A16" s="84" t="str">
        <f>'DIA 23'!A16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3"/>
        <v>0</v>
      </c>
      <c r="P16" s="67">
        <f t="shared" si="4"/>
        <v>0</v>
      </c>
      <c r="Q16" s="68">
        <f t="shared" si="5"/>
        <v>0</v>
      </c>
    </row>
    <row r="17" spans="1:17" ht="33.75" customHeight="1">
      <c r="A17" s="84" t="str">
        <f>'DIA 23'!A17</f>
        <v>RE-009 (RETROEXCAVADORA)</v>
      </c>
      <c r="B17" s="24"/>
      <c r="C17" s="61"/>
      <c r="D17" s="72"/>
      <c r="E17" s="12"/>
      <c r="F17" s="12"/>
      <c r="G17" s="25"/>
      <c r="H17" s="42"/>
      <c r="I17" s="26"/>
      <c r="J17" s="14"/>
      <c r="K17" s="12"/>
      <c r="L17" s="12"/>
      <c r="M17" s="12"/>
      <c r="N17" s="37"/>
      <c r="O17" s="55">
        <f t="shared" si="3"/>
        <v>0</v>
      </c>
      <c r="P17" s="67">
        <f t="shared" si="4"/>
        <v>0</v>
      </c>
      <c r="Q17" s="68">
        <f t="shared" si="5"/>
        <v>0</v>
      </c>
    </row>
    <row r="18" spans="1:17" ht="33.75" customHeight="1">
      <c r="A18" s="84" t="str">
        <f>'DIA 23'!A18</f>
        <v>RE-010 (RETROEXCAVADORA)</v>
      </c>
      <c r="B18" s="24"/>
      <c r="C18" s="61"/>
      <c r="D18" s="72"/>
      <c r="E18" s="12"/>
      <c r="F18" s="12"/>
      <c r="G18" s="25"/>
      <c r="H18" s="42"/>
      <c r="I18" s="26"/>
      <c r="J18" s="14"/>
      <c r="K18" s="12"/>
      <c r="L18" s="12"/>
      <c r="M18" s="12"/>
      <c r="N18" s="37"/>
      <c r="O18" s="55">
        <f t="shared" si="3"/>
        <v>0</v>
      </c>
      <c r="P18" s="67">
        <f t="shared" si="4"/>
        <v>0</v>
      </c>
      <c r="Q18" s="68">
        <f t="shared" si="5"/>
        <v>0</v>
      </c>
    </row>
    <row r="19" spans="1:17" ht="33.75" customHeight="1">
      <c r="A19" s="84" t="str">
        <f>'DIA 23'!A19</f>
        <v>ZN</v>
      </c>
      <c r="B19" s="24"/>
      <c r="C19" s="61"/>
      <c r="D19" s="72"/>
      <c r="E19" s="12"/>
      <c r="F19" s="12"/>
      <c r="G19" s="25"/>
      <c r="H19" s="42"/>
      <c r="I19" s="26"/>
      <c r="J19" s="14"/>
      <c r="K19" s="12"/>
      <c r="L19" s="12"/>
      <c r="M19" s="12"/>
      <c r="N19" s="37"/>
      <c r="O19" s="55">
        <f t="shared" si="3"/>
        <v>0</v>
      </c>
      <c r="P19" s="67">
        <f t="shared" si="4"/>
        <v>0</v>
      </c>
      <c r="Q19" s="68">
        <f t="shared" si="5"/>
        <v>0</v>
      </c>
    </row>
    <row r="20" spans="1:17" ht="33.75" customHeight="1">
      <c r="A20" s="84" t="str">
        <f>'DIA 23'!A20</f>
        <v>CBP-001 (BAJO PERFIL)</v>
      </c>
      <c r="B20" s="24"/>
      <c r="C20" s="61"/>
      <c r="D20" s="72"/>
      <c r="E20" s="12"/>
      <c r="F20" s="12"/>
      <c r="G20" s="25"/>
      <c r="H20" s="42"/>
      <c r="I20" s="26"/>
      <c r="J20" s="14"/>
      <c r="K20" s="12"/>
      <c r="L20" s="12"/>
      <c r="M20" s="12"/>
      <c r="N20" s="37"/>
      <c r="O20" s="55">
        <f t="shared" si="3"/>
        <v>0</v>
      </c>
      <c r="P20" s="67">
        <f t="shared" si="4"/>
        <v>0</v>
      </c>
      <c r="Q20" s="68">
        <f t="shared" si="5"/>
        <v>0</v>
      </c>
    </row>
    <row r="21" spans="1:17" ht="33.75" customHeight="1">
      <c r="A21" s="84" t="str">
        <f>'DIA 23'!A21</f>
        <v>MG-105</v>
      </c>
      <c r="B21" s="24"/>
      <c r="C21" s="61"/>
      <c r="D21" s="72"/>
      <c r="E21" s="12"/>
      <c r="F21" s="12"/>
      <c r="G21" s="25"/>
      <c r="H21" s="42"/>
      <c r="I21" s="26"/>
      <c r="J21" s="14"/>
      <c r="K21" s="12"/>
      <c r="L21" s="12"/>
      <c r="M21" s="12"/>
      <c r="N21" s="37"/>
      <c r="O21" s="55">
        <f t="shared" si="3"/>
        <v>0</v>
      </c>
      <c r="P21" s="67">
        <f t="shared" si="4"/>
        <v>0</v>
      </c>
      <c r="Q21" s="68">
        <f t="shared" si="5"/>
        <v>0</v>
      </c>
    </row>
    <row r="22" spans="1:17" ht="33.75" customHeight="1">
      <c r="A22" s="84" t="str">
        <f>'DIA 23'!A22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3"/>
        <v>0</v>
      </c>
      <c r="P22" s="67">
        <f t="shared" si="4"/>
        <v>0</v>
      </c>
      <c r="Q22" s="68">
        <f t="shared" si="5"/>
        <v>0</v>
      </c>
    </row>
    <row r="23" spans="1:17" ht="33.75" customHeight="1">
      <c r="A23" s="84" t="str">
        <f>'DIA 23'!A23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3"/>
        <v>0</v>
      </c>
      <c r="P23" s="67">
        <f t="shared" si="4"/>
        <v>0</v>
      </c>
      <c r="Q23" s="68">
        <f t="shared" si="5"/>
        <v>0</v>
      </c>
    </row>
    <row r="24" spans="1:17" ht="33.75" customHeight="1">
      <c r="A24" s="84" t="str">
        <f>'DIA 23'!A24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3"/>
        <v>0</v>
      </c>
      <c r="P24" s="67">
        <f t="shared" si="4"/>
        <v>0</v>
      </c>
      <c r="Q24" s="68">
        <f t="shared" si="5"/>
        <v>0</v>
      </c>
    </row>
    <row r="25" spans="1:17" ht="33.75" customHeight="1">
      <c r="A25" s="84" t="str">
        <f>'DIA 23'!A25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3"/>
        <v>0</v>
      </c>
      <c r="P25" s="67">
        <f t="shared" si="4"/>
        <v>0</v>
      </c>
      <c r="Q25" s="68">
        <f t="shared" si="5"/>
        <v>0</v>
      </c>
    </row>
    <row r="26" spans="1:17" ht="33.75" customHeight="1">
      <c r="A26" s="84" t="str">
        <f>'DIA 23'!A26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ref="O26" si="6">J26+C26</f>
        <v>0</v>
      </c>
      <c r="P26" s="67">
        <f t="shared" ref="P26" si="7">G26-B26</f>
        <v>0</v>
      </c>
      <c r="Q26" s="68">
        <f t="shared" ref="Q26" si="8">N26-I26</f>
        <v>0</v>
      </c>
    </row>
    <row r="27" spans="1:17" ht="33.75" customHeight="1">
      <c r="A27" s="84" t="str">
        <f>'DIA 23'!A27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41"/>
      <c r="O27" s="55">
        <f t="shared" ref="O27:O34" si="9">J27+C27</f>
        <v>0</v>
      </c>
      <c r="P27" s="67">
        <f t="shared" si="1"/>
        <v>0</v>
      </c>
      <c r="Q27" s="68">
        <f t="shared" si="2"/>
        <v>0</v>
      </c>
    </row>
    <row r="28" spans="1:17" ht="33.75" customHeight="1">
      <c r="A28" s="84" t="str">
        <f>'DIA 23'!A28</f>
        <v>MG-111</v>
      </c>
      <c r="B28" s="24"/>
      <c r="C28" s="62"/>
      <c r="D28" s="57"/>
      <c r="E28" s="13"/>
      <c r="F28" s="12"/>
      <c r="G28" s="28"/>
      <c r="H28" s="42"/>
      <c r="I28" s="26"/>
      <c r="J28" s="16"/>
      <c r="K28" s="13"/>
      <c r="L28" s="13"/>
      <c r="M28" s="13"/>
      <c r="N28" s="41"/>
      <c r="O28" s="55">
        <f t="shared" si="9"/>
        <v>0</v>
      </c>
      <c r="P28" s="67">
        <f t="shared" ref="P28:P33" si="10">G28-B28</f>
        <v>0</v>
      </c>
      <c r="Q28" s="68">
        <f t="shared" ref="Q28:Q33" si="11">N28-I28</f>
        <v>0</v>
      </c>
    </row>
    <row r="29" spans="1:17" ht="33.75" customHeight="1">
      <c r="A29" s="84" t="str">
        <f>'DIA 23'!A29</f>
        <v>MG-120</v>
      </c>
      <c r="B29" s="24"/>
      <c r="C29" s="62"/>
      <c r="D29" s="57"/>
      <c r="E29" s="13"/>
      <c r="F29" s="12"/>
      <c r="G29" s="28"/>
      <c r="H29" s="42"/>
      <c r="I29" s="26"/>
      <c r="J29" s="16"/>
      <c r="K29" s="13"/>
      <c r="L29" s="13"/>
      <c r="M29" s="13"/>
      <c r="N29" s="41"/>
      <c r="O29" s="55">
        <f t="shared" si="9"/>
        <v>0</v>
      </c>
      <c r="P29" s="67">
        <f t="shared" si="10"/>
        <v>0</v>
      </c>
      <c r="Q29" s="68">
        <f t="shared" si="11"/>
        <v>0</v>
      </c>
    </row>
    <row r="30" spans="1:17" ht="33.75" customHeight="1">
      <c r="A30" s="84" t="str">
        <f>'DIA 23'!A30</f>
        <v>PROSERMIN</v>
      </c>
      <c r="B30" s="24"/>
      <c r="C30" s="62"/>
      <c r="D30" s="57"/>
      <c r="E30" s="13"/>
      <c r="F30" s="12"/>
      <c r="G30" s="28"/>
      <c r="H30" s="42"/>
      <c r="I30" s="26"/>
      <c r="J30" s="16"/>
      <c r="K30" s="13"/>
      <c r="L30" s="13"/>
      <c r="M30" s="13"/>
      <c r="N30" s="41"/>
      <c r="O30" s="55">
        <f t="shared" si="9"/>
        <v>0</v>
      </c>
      <c r="P30" s="67">
        <f t="shared" si="10"/>
        <v>0</v>
      </c>
      <c r="Q30" s="68">
        <f t="shared" si="11"/>
        <v>0</v>
      </c>
    </row>
    <row r="31" spans="1:17" ht="33.75" customHeight="1">
      <c r="A31" s="84" t="str">
        <f>'DIA 23'!A31</f>
        <v>ST-060</v>
      </c>
      <c r="B31" s="24"/>
      <c r="C31" s="62"/>
      <c r="D31" s="57"/>
      <c r="E31" s="13"/>
      <c r="F31" s="12"/>
      <c r="G31" s="28"/>
      <c r="H31" s="42"/>
      <c r="I31" s="26"/>
      <c r="J31" s="16"/>
      <c r="K31" s="13"/>
      <c r="L31" s="13"/>
      <c r="M31" s="13"/>
      <c r="N31" s="41"/>
      <c r="O31" s="55">
        <f t="shared" si="9"/>
        <v>0</v>
      </c>
      <c r="P31" s="67">
        <f t="shared" si="10"/>
        <v>0</v>
      </c>
      <c r="Q31" s="68">
        <f t="shared" si="11"/>
        <v>0</v>
      </c>
    </row>
    <row r="32" spans="1:17" ht="33.75" customHeight="1">
      <c r="A32" s="84" t="str">
        <f>'DIA 23'!A32</f>
        <v>ST-53</v>
      </c>
      <c r="B32" s="24"/>
      <c r="C32" s="62"/>
      <c r="D32" s="57"/>
      <c r="E32" s="13"/>
      <c r="F32" s="12"/>
      <c r="G32" s="28"/>
      <c r="H32" s="42"/>
      <c r="I32" s="26"/>
      <c r="J32" s="16"/>
      <c r="K32" s="13"/>
      <c r="L32" s="13"/>
      <c r="M32" s="13"/>
      <c r="N32" s="41"/>
      <c r="O32" s="55">
        <f t="shared" si="9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23'!A33</f>
        <v>ST-039</v>
      </c>
      <c r="B33" s="24"/>
      <c r="C33" s="62"/>
      <c r="D33" s="57"/>
      <c r="E33" s="13"/>
      <c r="F33" s="12"/>
      <c r="G33" s="28"/>
      <c r="H33" s="43"/>
      <c r="I33" s="26"/>
      <c r="J33" s="16"/>
      <c r="K33" s="13"/>
      <c r="L33" s="13"/>
      <c r="M33" s="13"/>
      <c r="N33" s="41"/>
      <c r="O33" s="55">
        <f t="shared" si="9"/>
        <v>0</v>
      </c>
      <c r="P33" s="67">
        <f t="shared" si="10"/>
        <v>0</v>
      </c>
      <c r="Q33" s="68">
        <f t="shared" si="11"/>
        <v>0</v>
      </c>
    </row>
    <row r="34" spans="1:21" ht="33.75" customHeight="1" thickBot="1">
      <c r="A34" s="84" t="str">
        <f>'DIA 23'!A34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 t="shared" si="9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0</v>
      </c>
      <c r="D35" s="10"/>
      <c r="E35" s="11"/>
      <c r="F35" s="11"/>
      <c r="G35" s="11"/>
      <c r="H35" s="11"/>
      <c r="I35" s="11"/>
      <c r="J35" s="59">
        <f>SUM(J7:J34)</f>
        <v>0</v>
      </c>
      <c r="K35" s="50"/>
      <c r="L35" s="50"/>
      <c r="M35" s="49"/>
      <c r="N35" s="49"/>
      <c r="O35" s="85">
        <f>C35+J35</f>
        <v>0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Q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49" priority="1" operator="containsText" text="NO TRABAJO">
      <formula>NOT(ISERROR(SEARCH("NO TRABAJO",O7)))</formula>
    </cfRule>
    <cfRule type="containsText" dxfId="48" priority="2" operator="containsText" text="FUERA DE SERVICIO">
      <formula>NOT(ISERROR(SEARCH("FUERA DE SERVICIO",O7)))</formula>
    </cfRule>
    <cfRule type="containsText" dxfId="47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ECBB-5817-49DD-92B6-7394B70B6DA2}">
  <sheetPr>
    <pageSetUpPr fitToPage="1"/>
  </sheetPr>
  <dimension ref="A1:U56"/>
  <sheetViews>
    <sheetView showGridLines="0" view="pageBreakPreview" topLeftCell="A6" zoomScale="50" zoomScaleNormal="100" zoomScaleSheetLayoutView="50" workbookViewId="0">
      <selection activeCell="D23" sqref="D23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24'!Q2+O2</f>
        <v>16671</v>
      </c>
      <c r="Q2" s="160">
        <f>P2-O35</f>
        <v>16671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64"/>
      <c r="P4" s="165"/>
      <c r="Q4" s="166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2"/>
      <c r="P5" s="193"/>
      <c r="Q5" s="194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24'!O6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24'!A7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24'!A8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14" si="3">J8+C8</f>
        <v>0</v>
      </c>
      <c r="P8" s="67">
        <f t="shared" ref="P8:P14" si="4">G8-B8</f>
        <v>0</v>
      </c>
      <c r="Q8" s="68">
        <f t="shared" ref="Q8:Q14" si="5">N8-I8</f>
        <v>0</v>
      </c>
    </row>
    <row r="9" spans="1:17" ht="33.75" customHeight="1">
      <c r="A9" s="84" t="str">
        <f>'DIA 24'!A9</f>
        <v>ST-036 R1300</v>
      </c>
      <c r="B9" s="24"/>
      <c r="C9" s="61"/>
      <c r="D9" s="72"/>
      <c r="E9" s="12"/>
      <c r="F9" s="12"/>
      <c r="G9" s="27"/>
      <c r="H9" s="42"/>
      <c r="I9" s="26"/>
      <c r="J9" s="14"/>
      <c r="K9" s="12"/>
      <c r="L9" s="12"/>
      <c r="M9" s="12"/>
      <c r="N9" s="37"/>
      <c r="O9" s="55">
        <f t="shared" si="3"/>
        <v>0</v>
      </c>
      <c r="P9" s="67">
        <f t="shared" si="4"/>
        <v>0</v>
      </c>
      <c r="Q9" s="68">
        <f t="shared" si="5"/>
        <v>0</v>
      </c>
    </row>
    <row r="10" spans="1:17" ht="33.75" customHeight="1">
      <c r="A10" s="84" t="str">
        <f>'DIA 24'!A10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si="3"/>
        <v>0</v>
      </c>
      <c r="P10" s="67">
        <f t="shared" si="4"/>
        <v>0</v>
      </c>
      <c r="Q10" s="68">
        <f t="shared" si="5"/>
        <v>0</v>
      </c>
    </row>
    <row r="11" spans="1:17" ht="33.75" customHeight="1">
      <c r="A11" s="84" t="str">
        <f>'DIA 24'!A11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3"/>
        <v>0</v>
      </c>
      <c r="P11" s="67">
        <f t="shared" si="4"/>
        <v>0</v>
      </c>
      <c r="Q11" s="68">
        <f t="shared" si="5"/>
        <v>0</v>
      </c>
    </row>
    <row r="12" spans="1:17" ht="33.75" customHeight="1">
      <c r="A12" s="84" t="str">
        <f>'DIA 24'!A12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3"/>
        <v>0</v>
      </c>
      <c r="P12" s="67">
        <f t="shared" si="4"/>
        <v>0</v>
      </c>
      <c r="Q12" s="68">
        <f t="shared" si="5"/>
        <v>0</v>
      </c>
    </row>
    <row r="13" spans="1:17" ht="33.75" customHeight="1">
      <c r="A13" s="84" t="str">
        <f>'DIA 24'!A13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3"/>
        <v>0</v>
      </c>
      <c r="P13" s="67">
        <f t="shared" si="4"/>
        <v>0</v>
      </c>
      <c r="Q13" s="68">
        <f t="shared" si="5"/>
        <v>0</v>
      </c>
    </row>
    <row r="14" spans="1:17" ht="33.75" customHeight="1">
      <c r="A14" s="84" t="str">
        <f>'DIA 24'!A14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3"/>
        <v>0</v>
      </c>
      <c r="P14" s="67">
        <f t="shared" si="4"/>
        <v>0</v>
      </c>
      <c r="Q14" s="68">
        <f t="shared" si="5"/>
        <v>0</v>
      </c>
    </row>
    <row r="15" spans="1:17" ht="33.75" customHeight="1">
      <c r="A15" s="84" t="str">
        <f>'DIA 24'!A15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ref="O15:O34" si="6">J15+C15</f>
        <v>0</v>
      </c>
      <c r="P15" s="67">
        <f t="shared" si="1"/>
        <v>0</v>
      </c>
      <c r="Q15" s="68">
        <f t="shared" si="2"/>
        <v>0</v>
      </c>
    </row>
    <row r="16" spans="1:17" ht="33.75" customHeight="1">
      <c r="A16" s="84" t="str">
        <f>'DIA 24'!A16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6"/>
        <v>0</v>
      </c>
      <c r="P16" s="67">
        <f t="shared" si="1"/>
        <v>0</v>
      </c>
      <c r="Q16" s="68">
        <f t="shared" si="2"/>
        <v>0</v>
      </c>
    </row>
    <row r="17" spans="1:17" ht="33.75" customHeight="1">
      <c r="A17" s="84" t="str">
        <f>'DIA 24'!A17</f>
        <v>RE-009 (RETROEXCAVADORA)</v>
      </c>
      <c r="B17" s="24"/>
      <c r="C17" s="61"/>
      <c r="D17" s="72"/>
      <c r="E17" s="12"/>
      <c r="F17" s="12"/>
      <c r="G17" s="25"/>
      <c r="H17" s="42"/>
      <c r="I17" s="26"/>
      <c r="J17" s="14"/>
      <c r="K17" s="12"/>
      <c r="L17" s="12"/>
      <c r="M17" s="12"/>
      <c r="N17" s="37"/>
      <c r="O17" s="55">
        <f t="shared" si="6"/>
        <v>0</v>
      </c>
      <c r="P17" s="67">
        <f t="shared" si="1"/>
        <v>0</v>
      </c>
      <c r="Q17" s="68">
        <f t="shared" si="2"/>
        <v>0</v>
      </c>
    </row>
    <row r="18" spans="1:17" ht="33.75" customHeight="1">
      <c r="A18" s="84" t="str">
        <f>'DIA 24'!A18</f>
        <v>RE-010 (RETROEXCAVADORA)</v>
      </c>
      <c r="B18" s="24"/>
      <c r="C18" s="61"/>
      <c r="D18" s="72"/>
      <c r="E18" s="12"/>
      <c r="F18" s="12"/>
      <c r="G18" s="25"/>
      <c r="H18" s="42"/>
      <c r="I18" s="26"/>
      <c r="J18" s="14"/>
      <c r="K18" s="12"/>
      <c r="L18" s="12"/>
      <c r="M18" s="12"/>
      <c r="N18" s="37"/>
      <c r="O18" s="55">
        <f t="shared" ref="O18:O26" si="7">J18+C18</f>
        <v>0</v>
      </c>
      <c r="P18" s="67">
        <f t="shared" ref="P18:P26" si="8">G18-B18</f>
        <v>0</v>
      </c>
      <c r="Q18" s="68">
        <f t="shared" ref="Q18:Q26" si="9">N18-I18</f>
        <v>0</v>
      </c>
    </row>
    <row r="19" spans="1:17" ht="33.75" customHeight="1">
      <c r="A19" s="84" t="str">
        <f>'DIA 24'!A19</f>
        <v>ZN</v>
      </c>
      <c r="B19" s="24"/>
      <c r="C19" s="61"/>
      <c r="D19" s="72"/>
      <c r="E19" s="12"/>
      <c r="F19" s="12"/>
      <c r="G19" s="25"/>
      <c r="H19" s="42"/>
      <c r="I19" s="26"/>
      <c r="J19" s="14"/>
      <c r="K19" s="12"/>
      <c r="L19" s="12"/>
      <c r="M19" s="12"/>
      <c r="N19" s="37"/>
      <c r="O19" s="55">
        <f t="shared" si="7"/>
        <v>0</v>
      </c>
      <c r="P19" s="67">
        <f t="shared" si="8"/>
        <v>0</v>
      </c>
      <c r="Q19" s="68">
        <f t="shared" si="9"/>
        <v>0</v>
      </c>
    </row>
    <row r="20" spans="1:17" ht="33.75" customHeight="1">
      <c r="A20" s="84" t="str">
        <f>'DIA 24'!A20</f>
        <v>CBP-001 (BAJO PERFIL)</v>
      </c>
      <c r="B20" s="24"/>
      <c r="C20" s="61"/>
      <c r="D20" s="72"/>
      <c r="E20" s="12"/>
      <c r="F20" s="12"/>
      <c r="G20" s="25"/>
      <c r="H20" s="42"/>
      <c r="I20" s="26"/>
      <c r="J20" s="14"/>
      <c r="K20" s="12"/>
      <c r="L20" s="12"/>
      <c r="M20" s="12"/>
      <c r="N20" s="37"/>
      <c r="O20" s="55">
        <f t="shared" si="7"/>
        <v>0</v>
      </c>
      <c r="P20" s="67">
        <f t="shared" si="8"/>
        <v>0</v>
      </c>
      <c r="Q20" s="68">
        <f t="shared" si="9"/>
        <v>0</v>
      </c>
    </row>
    <row r="21" spans="1:17" ht="33.75" customHeight="1">
      <c r="A21" s="84" t="str">
        <f>'DIA 24'!A21</f>
        <v>MG-105</v>
      </c>
      <c r="B21" s="24"/>
      <c r="C21" s="61"/>
      <c r="D21" s="72"/>
      <c r="E21" s="12"/>
      <c r="F21" s="12"/>
      <c r="G21" s="25"/>
      <c r="H21" s="42"/>
      <c r="I21" s="26"/>
      <c r="J21" s="14"/>
      <c r="K21" s="12"/>
      <c r="L21" s="12"/>
      <c r="M21" s="12"/>
      <c r="N21" s="37"/>
      <c r="O21" s="55">
        <f t="shared" si="7"/>
        <v>0</v>
      </c>
      <c r="P21" s="67">
        <f t="shared" si="8"/>
        <v>0</v>
      </c>
      <c r="Q21" s="68">
        <f t="shared" si="9"/>
        <v>0</v>
      </c>
    </row>
    <row r="22" spans="1:17" ht="33.75" customHeight="1">
      <c r="A22" s="84" t="str">
        <f>'DIA 24'!A22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7"/>
        <v>0</v>
      </c>
      <c r="P22" s="67">
        <f t="shared" si="8"/>
        <v>0</v>
      </c>
      <c r="Q22" s="68">
        <f t="shared" si="9"/>
        <v>0</v>
      </c>
    </row>
    <row r="23" spans="1:17" ht="33.75" customHeight="1">
      <c r="A23" s="84" t="str">
        <f>'DIA 24'!A23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7"/>
        <v>0</v>
      </c>
      <c r="P23" s="67">
        <f t="shared" si="8"/>
        <v>0</v>
      </c>
      <c r="Q23" s="68">
        <f t="shared" si="9"/>
        <v>0</v>
      </c>
    </row>
    <row r="24" spans="1:17" ht="33.75" customHeight="1">
      <c r="A24" s="84" t="str">
        <f>'DIA 24'!A24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7"/>
        <v>0</v>
      </c>
      <c r="P24" s="67">
        <f t="shared" si="8"/>
        <v>0</v>
      </c>
      <c r="Q24" s="68">
        <f t="shared" si="9"/>
        <v>0</v>
      </c>
    </row>
    <row r="25" spans="1:17" ht="33.75" customHeight="1">
      <c r="A25" s="84" t="str">
        <f>'DIA 24'!A25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7"/>
        <v>0</v>
      </c>
      <c r="P25" s="67">
        <f t="shared" si="8"/>
        <v>0</v>
      </c>
      <c r="Q25" s="68">
        <f t="shared" si="9"/>
        <v>0</v>
      </c>
    </row>
    <row r="26" spans="1:17" ht="33.75" customHeight="1">
      <c r="A26" s="84" t="str">
        <f>'DIA 24'!A26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7"/>
        <v>0</v>
      </c>
      <c r="P26" s="67">
        <f t="shared" si="8"/>
        <v>0</v>
      </c>
      <c r="Q26" s="68">
        <f t="shared" si="9"/>
        <v>0</v>
      </c>
    </row>
    <row r="27" spans="1:17" ht="33.75" customHeight="1">
      <c r="A27" s="84" t="str">
        <f>'DIA 24'!A27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41"/>
      <c r="O27" s="55">
        <f t="shared" si="6"/>
        <v>0</v>
      </c>
      <c r="P27" s="67">
        <f t="shared" si="1"/>
        <v>0</v>
      </c>
      <c r="Q27" s="68">
        <f t="shared" si="2"/>
        <v>0</v>
      </c>
    </row>
    <row r="28" spans="1:17" ht="33.75" customHeight="1">
      <c r="A28" s="84" t="str">
        <f>'DIA 24'!A28</f>
        <v>MG-111</v>
      </c>
      <c r="B28" s="24"/>
      <c r="C28" s="60"/>
      <c r="D28" s="71"/>
      <c r="E28" s="17"/>
      <c r="F28" s="12"/>
      <c r="G28" s="25"/>
      <c r="H28" s="42"/>
      <c r="I28" s="26"/>
      <c r="J28" s="15"/>
      <c r="K28" s="13"/>
      <c r="L28" s="13"/>
      <c r="M28" s="13"/>
      <c r="N28" s="38"/>
      <c r="O28" s="55">
        <f t="shared" si="6"/>
        <v>0</v>
      </c>
      <c r="P28" s="67">
        <f t="shared" si="1"/>
        <v>0</v>
      </c>
      <c r="Q28" s="68">
        <f t="shared" si="2"/>
        <v>0</v>
      </c>
    </row>
    <row r="29" spans="1:17" ht="33.75" customHeight="1">
      <c r="A29" s="84" t="str">
        <f>'DIA 24'!A29</f>
        <v>MG-120</v>
      </c>
      <c r="B29" s="24"/>
      <c r="C29" s="62"/>
      <c r="D29" s="57"/>
      <c r="E29" s="13"/>
      <c r="F29" s="12"/>
      <c r="G29" s="28"/>
      <c r="H29" s="42"/>
      <c r="I29" s="26"/>
      <c r="J29" s="15"/>
      <c r="K29" s="13"/>
      <c r="L29" s="13"/>
      <c r="M29" s="13"/>
      <c r="N29" s="37"/>
      <c r="O29" s="55">
        <f t="shared" si="6"/>
        <v>0</v>
      </c>
      <c r="P29" s="67">
        <f t="shared" si="1"/>
        <v>0</v>
      </c>
      <c r="Q29" s="68">
        <f t="shared" si="2"/>
        <v>0</v>
      </c>
    </row>
    <row r="30" spans="1:17" ht="33.75" customHeight="1">
      <c r="A30" s="84" t="str">
        <f>'DIA 24'!A30</f>
        <v>PROSERMIN</v>
      </c>
      <c r="B30" s="24"/>
      <c r="C30" s="62"/>
      <c r="D30" s="57"/>
      <c r="E30" s="13"/>
      <c r="F30" s="12"/>
      <c r="G30" s="28"/>
      <c r="H30" s="42"/>
      <c r="I30" s="26"/>
      <c r="J30" s="15"/>
      <c r="K30" s="13"/>
      <c r="L30" s="13"/>
      <c r="M30" s="13"/>
      <c r="N30" s="37"/>
      <c r="O30" s="55">
        <f t="shared" si="6"/>
        <v>0</v>
      </c>
      <c r="P30" s="67">
        <f t="shared" si="1"/>
        <v>0</v>
      </c>
      <c r="Q30" s="68">
        <f t="shared" si="2"/>
        <v>0</v>
      </c>
    </row>
    <row r="31" spans="1:17" ht="33.75" customHeight="1">
      <c r="A31" s="84" t="str">
        <f>'DIA 24'!A31</f>
        <v>ST-060</v>
      </c>
      <c r="B31" s="24"/>
      <c r="C31" s="62"/>
      <c r="D31" s="57"/>
      <c r="E31" s="13"/>
      <c r="F31" s="12"/>
      <c r="G31" s="28"/>
      <c r="H31" s="42"/>
      <c r="I31" s="26"/>
      <c r="J31" s="15"/>
      <c r="K31" s="13"/>
      <c r="L31" s="13"/>
      <c r="M31" s="13"/>
      <c r="N31" s="37"/>
      <c r="O31" s="55">
        <f t="shared" si="6"/>
        <v>0</v>
      </c>
      <c r="P31" s="67">
        <f t="shared" ref="P31:P32" si="10">G31-B31</f>
        <v>0</v>
      </c>
      <c r="Q31" s="68">
        <f t="shared" ref="Q31:Q32" si="11">N31-I31</f>
        <v>0</v>
      </c>
    </row>
    <row r="32" spans="1:17" ht="33.75" customHeight="1">
      <c r="A32" s="84" t="str">
        <f>'DIA 24'!A32</f>
        <v>ST-53</v>
      </c>
      <c r="B32" s="24"/>
      <c r="C32" s="62"/>
      <c r="D32" s="57"/>
      <c r="E32" s="13"/>
      <c r="F32" s="17"/>
      <c r="G32" s="28"/>
      <c r="H32" s="42"/>
      <c r="I32" s="26"/>
      <c r="J32" s="15"/>
      <c r="K32" s="13"/>
      <c r="L32" s="13"/>
      <c r="M32" s="13"/>
      <c r="N32" s="37"/>
      <c r="O32" s="55">
        <f t="shared" si="6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24'!A33</f>
        <v>ST-039</v>
      </c>
      <c r="B33" s="24"/>
      <c r="C33" s="64"/>
      <c r="D33" s="74"/>
      <c r="E33" s="19"/>
      <c r="F33" s="12"/>
      <c r="G33" s="31"/>
      <c r="H33" s="43"/>
      <c r="I33" s="26"/>
      <c r="J33" s="18"/>
      <c r="K33" s="76"/>
      <c r="L33" s="76"/>
      <c r="M33" s="19"/>
      <c r="N33" s="41"/>
      <c r="O33" s="55">
        <f t="shared" si="6"/>
        <v>0</v>
      </c>
      <c r="P33" s="67">
        <f t="shared" si="1"/>
        <v>0</v>
      </c>
      <c r="Q33" s="68">
        <f t="shared" si="2"/>
        <v>0</v>
      </c>
    </row>
    <row r="34" spans="1:21" ht="33.75" customHeight="1" thickBot="1">
      <c r="A34" s="84" t="str">
        <f>'DIA 24'!A34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 t="shared" si="6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0</v>
      </c>
      <c r="D35" s="10"/>
      <c r="E35" s="11"/>
      <c r="F35" s="11"/>
      <c r="G35" s="11"/>
      <c r="H35" s="11"/>
      <c r="I35" s="11"/>
      <c r="J35" s="59">
        <f>SUM(J7:J34)</f>
        <v>0</v>
      </c>
      <c r="K35" s="50"/>
      <c r="L35" s="50"/>
      <c r="M35" s="49"/>
      <c r="N35" s="49"/>
      <c r="O35" s="85">
        <f>C35+J35</f>
        <v>0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Q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46" priority="1" operator="containsText" text="NO TRABAJO">
      <formula>NOT(ISERROR(SEARCH("NO TRABAJO",O7)))</formula>
    </cfRule>
    <cfRule type="containsText" dxfId="45" priority="2" operator="containsText" text="FUERA DE SERVICIO">
      <formula>NOT(ISERROR(SEARCH("FUERA DE SERVICIO",O7)))</formula>
    </cfRule>
    <cfRule type="containsText" dxfId="44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C8E4E-EC1D-42A1-8D93-8C3A72255452}">
  <sheetPr>
    <pageSetUpPr fitToPage="1"/>
  </sheetPr>
  <dimension ref="A1:U56"/>
  <sheetViews>
    <sheetView showGridLines="0" view="pageBreakPreview" zoomScale="50" zoomScaleNormal="100" zoomScaleSheetLayoutView="50" workbookViewId="0">
      <selection activeCell="O7" sqref="O7:Q18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25'!Q2+O2</f>
        <v>16671</v>
      </c>
      <c r="Q2" s="160">
        <f>P2-O35</f>
        <v>16671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64"/>
      <c r="P4" s="165"/>
      <c r="Q4" s="166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2"/>
      <c r="P5" s="193"/>
      <c r="Q5" s="194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25'!O6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25'!A7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25'!A8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18" si="3">J8+C8</f>
        <v>0</v>
      </c>
      <c r="P8" s="67">
        <f t="shared" ref="P8:P18" si="4">G8-B8</f>
        <v>0</v>
      </c>
      <c r="Q8" s="68">
        <f t="shared" ref="Q8:Q18" si="5">N8-I8</f>
        <v>0</v>
      </c>
    </row>
    <row r="9" spans="1:17" ht="33.75" customHeight="1">
      <c r="A9" s="84" t="str">
        <f>'DIA 25'!A9</f>
        <v>ST-036 R1300</v>
      </c>
      <c r="B9" s="24"/>
      <c r="C9" s="61"/>
      <c r="D9" s="72"/>
      <c r="E9" s="12"/>
      <c r="F9" s="12"/>
      <c r="G9" s="27"/>
      <c r="H9" s="42"/>
      <c r="I9" s="26"/>
      <c r="J9" s="14"/>
      <c r="K9" s="12"/>
      <c r="L9" s="12"/>
      <c r="M9" s="12"/>
      <c r="N9" s="37"/>
      <c r="O9" s="55">
        <f t="shared" si="3"/>
        <v>0</v>
      </c>
      <c r="P9" s="67">
        <f t="shared" si="4"/>
        <v>0</v>
      </c>
      <c r="Q9" s="68">
        <f t="shared" si="5"/>
        <v>0</v>
      </c>
    </row>
    <row r="10" spans="1:17" ht="33.75" customHeight="1">
      <c r="A10" s="84" t="str">
        <f>'DIA 25'!A10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si="3"/>
        <v>0</v>
      </c>
      <c r="P10" s="67">
        <f t="shared" si="4"/>
        <v>0</v>
      </c>
      <c r="Q10" s="68">
        <f t="shared" si="5"/>
        <v>0</v>
      </c>
    </row>
    <row r="11" spans="1:17" ht="33.75" customHeight="1">
      <c r="A11" s="84" t="str">
        <f>'DIA 25'!A11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3"/>
        <v>0</v>
      </c>
      <c r="P11" s="67">
        <f t="shared" si="4"/>
        <v>0</v>
      </c>
      <c r="Q11" s="68">
        <f t="shared" si="5"/>
        <v>0</v>
      </c>
    </row>
    <row r="12" spans="1:17" ht="33.75" customHeight="1">
      <c r="A12" s="84" t="str">
        <f>'DIA 25'!A12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3"/>
        <v>0</v>
      </c>
      <c r="P12" s="67">
        <f t="shared" si="4"/>
        <v>0</v>
      </c>
      <c r="Q12" s="68">
        <f t="shared" si="5"/>
        <v>0</v>
      </c>
    </row>
    <row r="13" spans="1:17" ht="33.75" customHeight="1">
      <c r="A13" s="84" t="str">
        <f>'DIA 25'!A13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3"/>
        <v>0</v>
      </c>
      <c r="P13" s="67">
        <f t="shared" si="4"/>
        <v>0</v>
      </c>
      <c r="Q13" s="68">
        <f t="shared" si="5"/>
        <v>0</v>
      </c>
    </row>
    <row r="14" spans="1:17" ht="33.75" customHeight="1">
      <c r="A14" s="84" t="str">
        <f>'DIA 25'!A14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3"/>
        <v>0</v>
      </c>
      <c r="P14" s="67">
        <f t="shared" si="4"/>
        <v>0</v>
      </c>
      <c r="Q14" s="68">
        <f t="shared" si="5"/>
        <v>0</v>
      </c>
    </row>
    <row r="15" spans="1:17" ht="33.75" customHeight="1">
      <c r="A15" s="84" t="str">
        <f>'DIA 25'!A15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si="3"/>
        <v>0</v>
      </c>
      <c r="P15" s="67">
        <f t="shared" si="4"/>
        <v>0</v>
      </c>
      <c r="Q15" s="68">
        <f t="shared" si="5"/>
        <v>0</v>
      </c>
    </row>
    <row r="16" spans="1:17" ht="33.75" customHeight="1">
      <c r="A16" s="84" t="str">
        <f>'DIA 25'!A16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3"/>
        <v>0</v>
      </c>
      <c r="P16" s="67">
        <f t="shared" si="4"/>
        <v>0</v>
      </c>
      <c r="Q16" s="68">
        <f t="shared" si="5"/>
        <v>0</v>
      </c>
    </row>
    <row r="17" spans="1:17" ht="33.75" customHeight="1">
      <c r="A17" s="84" t="str">
        <f>'DIA 25'!A17</f>
        <v>RE-009 (RETROEXCAVADORA)</v>
      </c>
      <c r="B17" s="24"/>
      <c r="C17" s="61"/>
      <c r="D17" s="72"/>
      <c r="E17" s="12"/>
      <c r="F17" s="12"/>
      <c r="G17" s="25"/>
      <c r="H17" s="42"/>
      <c r="I17" s="26"/>
      <c r="J17" s="14"/>
      <c r="K17" s="12"/>
      <c r="L17" s="12"/>
      <c r="M17" s="12"/>
      <c r="N17" s="37"/>
      <c r="O17" s="55">
        <f t="shared" si="3"/>
        <v>0</v>
      </c>
      <c r="P17" s="67">
        <f t="shared" si="4"/>
        <v>0</v>
      </c>
      <c r="Q17" s="68">
        <f t="shared" si="5"/>
        <v>0</v>
      </c>
    </row>
    <row r="18" spans="1:17" ht="33.75" customHeight="1">
      <c r="A18" s="84" t="str">
        <f>'DIA 25'!A18</f>
        <v>RE-010 (RETROEXCAVADORA)</v>
      </c>
      <c r="B18" s="24"/>
      <c r="C18" s="61"/>
      <c r="D18" s="72"/>
      <c r="E18" s="12"/>
      <c r="F18" s="12"/>
      <c r="G18" s="25"/>
      <c r="H18" s="42"/>
      <c r="I18" s="26"/>
      <c r="J18" s="14"/>
      <c r="K18" s="12"/>
      <c r="L18" s="12"/>
      <c r="M18" s="12"/>
      <c r="N18" s="37"/>
      <c r="O18" s="55">
        <f t="shared" si="3"/>
        <v>0</v>
      </c>
      <c r="P18" s="67">
        <f t="shared" si="4"/>
        <v>0</v>
      </c>
      <c r="Q18" s="68">
        <f t="shared" si="5"/>
        <v>0</v>
      </c>
    </row>
    <row r="19" spans="1:17" ht="33.75" customHeight="1">
      <c r="A19" s="84" t="str">
        <f>'DIA 25'!A19</f>
        <v>ZN</v>
      </c>
      <c r="B19" s="24"/>
      <c r="C19" s="61"/>
      <c r="D19" s="72"/>
      <c r="E19" s="12"/>
      <c r="F19" s="12"/>
      <c r="G19" s="25"/>
      <c r="H19" s="42"/>
      <c r="I19" s="26"/>
      <c r="J19" s="14"/>
      <c r="K19" s="12"/>
      <c r="L19" s="12"/>
      <c r="M19" s="12"/>
      <c r="N19" s="37"/>
      <c r="O19" s="55">
        <f t="shared" ref="O19:O29" si="6">J19+C19</f>
        <v>0</v>
      </c>
      <c r="P19" s="67">
        <f t="shared" ref="P19:P29" si="7">G19-B19</f>
        <v>0</v>
      </c>
      <c r="Q19" s="68">
        <f t="shared" ref="Q19:Q29" si="8">N19-I19</f>
        <v>0</v>
      </c>
    </row>
    <row r="20" spans="1:17" ht="33.75" customHeight="1">
      <c r="A20" s="84" t="str">
        <f>'DIA 25'!A20</f>
        <v>CBP-001 (BAJO PERFIL)</v>
      </c>
      <c r="B20" s="24"/>
      <c r="C20" s="61"/>
      <c r="D20" s="72"/>
      <c r="E20" s="12"/>
      <c r="F20" s="12"/>
      <c r="G20" s="25"/>
      <c r="H20" s="42"/>
      <c r="I20" s="26"/>
      <c r="J20" s="14"/>
      <c r="K20" s="12"/>
      <c r="L20" s="12"/>
      <c r="M20" s="12"/>
      <c r="N20" s="37"/>
      <c r="O20" s="55">
        <f t="shared" si="6"/>
        <v>0</v>
      </c>
      <c r="P20" s="67">
        <f t="shared" si="7"/>
        <v>0</v>
      </c>
      <c r="Q20" s="68">
        <f t="shared" si="8"/>
        <v>0</v>
      </c>
    </row>
    <row r="21" spans="1:17" ht="33.75" customHeight="1">
      <c r="A21" s="84" t="str">
        <f>'DIA 25'!A21</f>
        <v>MG-105</v>
      </c>
      <c r="B21" s="24"/>
      <c r="C21" s="61"/>
      <c r="D21" s="72"/>
      <c r="E21" s="12"/>
      <c r="F21" s="12"/>
      <c r="G21" s="25"/>
      <c r="H21" s="42"/>
      <c r="I21" s="26"/>
      <c r="J21" s="14"/>
      <c r="K21" s="12"/>
      <c r="L21" s="12"/>
      <c r="M21" s="12"/>
      <c r="N21" s="37"/>
      <c r="O21" s="55">
        <f t="shared" si="6"/>
        <v>0</v>
      </c>
      <c r="P21" s="67">
        <f t="shared" si="7"/>
        <v>0</v>
      </c>
      <c r="Q21" s="68">
        <f t="shared" si="8"/>
        <v>0</v>
      </c>
    </row>
    <row r="22" spans="1:17" ht="33.75" customHeight="1">
      <c r="A22" s="84" t="str">
        <f>'DIA 25'!A22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6"/>
        <v>0</v>
      </c>
      <c r="P22" s="67">
        <f t="shared" si="7"/>
        <v>0</v>
      </c>
      <c r="Q22" s="68">
        <f t="shared" si="8"/>
        <v>0</v>
      </c>
    </row>
    <row r="23" spans="1:17" ht="33.75" customHeight="1">
      <c r="A23" s="84" t="str">
        <f>'DIA 25'!A23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6"/>
        <v>0</v>
      </c>
      <c r="P23" s="67">
        <f t="shared" si="7"/>
        <v>0</v>
      </c>
      <c r="Q23" s="68">
        <f t="shared" si="8"/>
        <v>0</v>
      </c>
    </row>
    <row r="24" spans="1:17" ht="33.75" customHeight="1">
      <c r="A24" s="84" t="str">
        <f>'DIA 25'!A24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6"/>
        <v>0</v>
      </c>
      <c r="P24" s="67">
        <f t="shared" si="7"/>
        <v>0</v>
      </c>
      <c r="Q24" s="68">
        <f t="shared" si="8"/>
        <v>0</v>
      </c>
    </row>
    <row r="25" spans="1:17" ht="33.75" customHeight="1">
      <c r="A25" s="84" t="str">
        <f>'DIA 25'!A25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6"/>
        <v>0</v>
      </c>
      <c r="P25" s="67">
        <f t="shared" si="7"/>
        <v>0</v>
      </c>
      <c r="Q25" s="68">
        <f t="shared" si="8"/>
        <v>0</v>
      </c>
    </row>
    <row r="26" spans="1:17" ht="33.75" customHeight="1">
      <c r="A26" s="84" t="str">
        <f>'DIA 25'!A26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6"/>
        <v>0</v>
      </c>
      <c r="P26" s="67">
        <f t="shared" si="7"/>
        <v>0</v>
      </c>
      <c r="Q26" s="68">
        <f t="shared" si="8"/>
        <v>0</v>
      </c>
    </row>
    <row r="27" spans="1:17" ht="33.75" customHeight="1">
      <c r="A27" s="84" t="str">
        <f>'DIA 25'!A27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37"/>
      <c r="O27" s="55">
        <f t="shared" si="6"/>
        <v>0</v>
      </c>
      <c r="P27" s="67">
        <f t="shared" si="7"/>
        <v>0</v>
      </c>
      <c r="Q27" s="68">
        <f t="shared" si="8"/>
        <v>0</v>
      </c>
    </row>
    <row r="28" spans="1:17" ht="33.75" customHeight="1">
      <c r="A28" s="84" t="str">
        <f>'DIA 25'!A28</f>
        <v>MG-111</v>
      </c>
      <c r="B28" s="24"/>
      <c r="C28" s="61"/>
      <c r="D28" s="72"/>
      <c r="E28" s="12"/>
      <c r="F28" s="12"/>
      <c r="G28" s="27"/>
      <c r="H28" s="42"/>
      <c r="I28" s="26"/>
      <c r="J28" s="15"/>
      <c r="K28" s="13"/>
      <c r="L28" s="13"/>
      <c r="M28" s="13"/>
      <c r="N28" s="37"/>
      <c r="O28" s="55">
        <f t="shared" si="6"/>
        <v>0</v>
      </c>
      <c r="P28" s="67">
        <f t="shared" si="7"/>
        <v>0</v>
      </c>
      <c r="Q28" s="68">
        <f t="shared" si="8"/>
        <v>0</v>
      </c>
    </row>
    <row r="29" spans="1:17" ht="33.75" customHeight="1">
      <c r="A29" s="84" t="str">
        <f>'DIA 25'!A29</f>
        <v>MG-120</v>
      </c>
      <c r="B29" s="24"/>
      <c r="C29" s="60"/>
      <c r="D29" s="71"/>
      <c r="E29" s="17"/>
      <c r="F29" s="12"/>
      <c r="G29" s="25"/>
      <c r="H29" s="42"/>
      <c r="I29" s="26"/>
      <c r="J29" s="15"/>
      <c r="K29" s="13"/>
      <c r="L29" s="13"/>
      <c r="M29" s="13"/>
      <c r="N29" s="37"/>
      <c r="O29" s="55">
        <f t="shared" si="6"/>
        <v>0</v>
      </c>
      <c r="P29" s="67">
        <f t="shared" si="7"/>
        <v>0</v>
      </c>
      <c r="Q29" s="68">
        <f t="shared" si="8"/>
        <v>0</v>
      </c>
    </row>
    <row r="30" spans="1:17" ht="33.75" customHeight="1">
      <c r="A30" s="84" t="str">
        <f>'DIA 25'!A30</f>
        <v>PROSERMIN</v>
      </c>
      <c r="B30" s="24"/>
      <c r="C30" s="61"/>
      <c r="D30" s="72"/>
      <c r="E30" s="12"/>
      <c r="F30" s="12"/>
      <c r="G30" s="27"/>
      <c r="H30" s="42"/>
      <c r="I30" s="26"/>
      <c r="J30" s="15"/>
      <c r="K30" s="13"/>
      <c r="L30" s="13"/>
      <c r="M30" s="13"/>
      <c r="N30" s="37"/>
      <c r="O30" s="55">
        <f t="shared" ref="O30:O34" si="9">J30+C30</f>
        <v>0</v>
      </c>
      <c r="P30" s="67">
        <f t="shared" si="1"/>
        <v>0</v>
      </c>
      <c r="Q30" s="68">
        <f t="shared" si="2"/>
        <v>0</v>
      </c>
    </row>
    <row r="31" spans="1:17" ht="33.75" customHeight="1">
      <c r="A31" s="84" t="str">
        <f>'DIA 25'!A31</f>
        <v>ST-060</v>
      </c>
      <c r="B31" s="24"/>
      <c r="C31" s="60"/>
      <c r="D31" s="71"/>
      <c r="E31" s="17"/>
      <c r="F31" s="12"/>
      <c r="G31" s="25"/>
      <c r="H31" s="42"/>
      <c r="I31" s="26"/>
      <c r="J31" s="15"/>
      <c r="K31" s="13"/>
      <c r="L31" s="13"/>
      <c r="M31" s="13"/>
      <c r="N31" s="37"/>
      <c r="O31" s="55">
        <f t="shared" si="9"/>
        <v>0</v>
      </c>
      <c r="P31" s="67">
        <f t="shared" ref="P31:P33" si="10">G31-B31</f>
        <v>0</v>
      </c>
      <c r="Q31" s="68">
        <f t="shared" ref="Q31:Q33" si="11">N31-I31</f>
        <v>0</v>
      </c>
    </row>
    <row r="32" spans="1:17" ht="33.75" customHeight="1">
      <c r="A32" s="84" t="str">
        <f>'DIA 25'!A32</f>
        <v>ST-53</v>
      </c>
      <c r="B32" s="24"/>
      <c r="C32" s="61"/>
      <c r="D32" s="72"/>
      <c r="E32" s="12"/>
      <c r="F32" s="12"/>
      <c r="G32" s="27"/>
      <c r="H32" s="42"/>
      <c r="I32" s="26"/>
      <c r="J32" s="15"/>
      <c r="K32" s="13"/>
      <c r="L32" s="13"/>
      <c r="M32" s="13"/>
      <c r="N32" s="37"/>
      <c r="O32" s="55">
        <f t="shared" si="9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25'!A33</f>
        <v>ST-039</v>
      </c>
      <c r="B33" s="24"/>
      <c r="C33" s="60"/>
      <c r="D33" s="71"/>
      <c r="E33" s="17"/>
      <c r="F33" s="12"/>
      <c r="G33" s="25"/>
      <c r="H33" s="43"/>
      <c r="I33" s="26"/>
      <c r="J33" s="15"/>
      <c r="K33" s="13"/>
      <c r="L33" s="13"/>
      <c r="M33" s="13"/>
      <c r="N33" s="41"/>
      <c r="O33" s="55">
        <f t="shared" si="9"/>
        <v>0</v>
      </c>
      <c r="P33" s="67">
        <f t="shared" si="10"/>
        <v>0</v>
      </c>
      <c r="Q33" s="68">
        <f t="shared" si="11"/>
        <v>0</v>
      </c>
    </row>
    <row r="34" spans="1:21" ht="33.75" customHeight="1" thickBot="1">
      <c r="A34" s="84" t="str">
        <f>'DIA 25'!A34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 t="shared" si="9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0</v>
      </c>
      <c r="D35" s="10"/>
      <c r="E35" s="11"/>
      <c r="F35" s="11"/>
      <c r="G35" s="11"/>
      <c r="H35" s="11"/>
      <c r="I35" s="11"/>
      <c r="J35" s="59">
        <f>SUM(J7:J34)</f>
        <v>0</v>
      </c>
      <c r="K35" s="50"/>
      <c r="L35" s="50"/>
      <c r="M35" s="49"/>
      <c r="N35" s="49"/>
      <c r="O35" s="85">
        <f>C35+J35</f>
        <v>0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Q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43" priority="1" operator="containsText" text="NO TRABAJO">
      <formula>NOT(ISERROR(SEARCH("NO TRABAJO",O7)))</formula>
    </cfRule>
    <cfRule type="containsText" dxfId="42" priority="2" operator="containsText" text="FUERA DE SERVICIO">
      <formula>NOT(ISERROR(SEARCH("FUERA DE SERVICIO",O7)))</formula>
    </cfRule>
    <cfRule type="containsText" dxfId="41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686D4-3196-476F-804D-87ECFF836A77}">
  <sheetPr>
    <pageSetUpPr fitToPage="1"/>
  </sheetPr>
  <dimension ref="A1:U56"/>
  <sheetViews>
    <sheetView showGridLines="0" view="pageBreakPreview" topLeftCell="A4" zoomScale="50" zoomScaleNormal="100" zoomScaleSheetLayoutView="50" workbookViewId="0">
      <selection activeCell="A7" sqref="A7:A34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26'!Q2+O2</f>
        <v>16671</v>
      </c>
      <c r="Q2" s="160">
        <f>P2-O35</f>
        <v>16671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64"/>
      <c r="P4" s="165"/>
      <c r="Q4" s="166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2"/>
      <c r="P5" s="193"/>
      <c r="Q5" s="194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26'!O6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26'!A7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26'!A8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15" si="3">J8+C8</f>
        <v>0</v>
      </c>
      <c r="P8" s="67">
        <f t="shared" ref="P8:P15" si="4">G8-B8</f>
        <v>0</v>
      </c>
      <c r="Q8" s="68">
        <f t="shared" ref="Q8:Q15" si="5">N8-I8</f>
        <v>0</v>
      </c>
    </row>
    <row r="9" spans="1:17" ht="33.75" customHeight="1">
      <c r="A9" s="84" t="str">
        <f>'DIA 26'!A9</f>
        <v>ST-036 R1300</v>
      </c>
      <c r="B9" s="24"/>
      <c r="C9" s="61"/>
      <c r="D9" s="72"/>
      <c r="E9" s="12"/>
      <c r="F9" s="12"/>
      <c r="G9" s="27"/>
      <c r="H9" s="42"/>
      <c r="I9" s="26"/>
      <c r="J9" s="14"/>
      <c r="K9" s="12"/>
      <c r="L9" s="12"/>
      <c r="M9" s="12"/>
      <c r="N9" s="37"/>
      <c r="O9" s="55">
        <f t="shared" si="3"/>
        <v>0</v>
      </c>
      <c r="P9" s="67">
        <f t="shared" si="4"/>
        <v>0</v>
      </c>
      <c r="Q9" s="68">
        <f t="shared" si="5"/>
        <v>0</v>
      </c>
    </row>
    <row r="10" spans="1:17" ht="33.75" customHeight="1">
      <c r="A10" s="84" t="str">
        <f>'DIA 26'!A10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si="3"/>
        <v>0</v>
      </c>
      <c r="P10" s="67">
        <f t="shared" si="4"/>
        <v>0</v>
      </c>
      <c r="Q10" s="68">
        <f t="shared" si="5"/>
        <v>0</v>
      </c>
    </row>
    <row r="11" spans="1:17" ht="33.75" customHeight="1">
      <c r="A11" s="84" t="str">
        <f>'DIA 26'!A11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3"/>
        <v>0</v>
      </c>
      <c r="P11" s="67">
        <f t="shared" si="4"/>
        <v>0</v>
      </c>
      <c r="Q11" s="68">
        <f t="shared" si="5"/>
        <v>0</v>
      </c>
    </row>
    <row r="12" spans="1:17" ht="33.75" customHeight="1">
      <c r="A12" s="84" t="str">
        <f>'DIA 26'!A12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3"/>
        <v>0</v>
      </c>
      <c r="P12" s="67">
        <f t="shared" si="4"/>
        <v>0</v>
      </c>
      <c r="Q12" s="68">
        <f t="shared" si="5"/>
        <v>0</v>
      </c>
    </row>
    <row r="13" spans="1:17" ht="33.75" customHeight="1">
      <c r="A13" s="84" t="str">
        <f>'DIA 26'!A13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3"/>
        <v>0</v>
      </c>
      <c r="P13" s="67">
        <f t="shared" si="4"/>
        <v>0</v>
      </c>
      <c r="Q13" s="68">
        <f t="shared" si="5"/>
        <v>0</v>
      </c>
    </row>
    <row r="14" spans="1:17" ht="33.75" customHeight="1">
      <c r="A14" s="84" t="str">
        <f>'DIA 26'!A14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3"/>
        <v>0</v>
      </c>
      <c r="P14" s="67">
        <f t="shared" si="4"/>
        <v>0</v>
      </c>
      <c r="Q14" s="68">
        <f t="shared" si="5"/>
        <v>0</v>
      </c>
    </row>
    <row r="15" spans="1:17" ht="33.75" customHeight="1">
      <c r="A15" s="84" t="str">
        <f>'DIA 26'!A15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si="3"/>
        <v>0</v>
      </c>
      <c r="P15" s="67">
        <f t="shared" si="4"/>
        <v>0</v>
      </c>
      <c r="Q15" s="68">
        <f t="shared" si="5"/>
        <v>0</v>
      </c>
    </row>
    <row r="16" spans="1:17" ht="33.75" customHeight="1">
      <c r="A16" s="84" t="str">
        <f>'DIA 26'!A16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ref="O16:O29" si="6">J16+C16</f>
        <v>0</v>
      </c>
      <c r="P16" s="67">
        <f t="shared" ref="P16:P29" si="7">G16-B16</f>
        <v>0</v>
      </c>
      <c r="Q16" s="68">
        <f t="shared" ref="Q16:Q29" si="8">N16-I16</f>
        <v>0</v>
      </c>
    </row>
    <row r="17" spans="1:17" ht="33.75" customHeight="1">
      <c r="A17" s="84" t="str">
        <f>'DIA 26'!A17</f>
        <v>RE-009 (RETROEXCAVADORA)</v>
      </c>
      <c r="B17" s="24"/>
      <c r="C17" s="61"/>
      <c r="D17" s="72"/>
      <c r="E17" s="12"/>
      <c r="F17" s="12"/>
      <c r="G17" s="27"/>
      <c r="H17" s="42"/>
      <c r="I17" s="26"/>
      <c r="J17" s="14"/>
      <c r="K17" s="12"/>
      <c r="L17" s="12"/>
      <c r="M17" s="12"/>
      <c r="N17" s="37"/>
      <c r="O17" s="55">
        <f t="shared" si="6"/>
        <v>0</v>
      </c>
      <c r="P17" s="67">
        <f t="shared" si="7"/>
        <v>0</v>
      </c>
      <c r="Q17" s="68">
        <f t="shared" si="8"/>
        <v>0</v>
      </c>
    </row>
    <row r="18" spans="1:17" ht="33.75" customHeight="1">
      <c r="A18" s="84" t="str">
        <f>'DIA 26'!A18</f>
        <v>RE-010 (RETROEXCAVADORA)</v>
      </c>
      <c r="B18" s="24"/>
      <c r="C18" s="61"/>
      <c r="D18" s="72"/>
      <c r="E18" s="12"/>
      <c r="F18" s="12"/>
      <c r="G18" s="27"/>
      <c r="H18" s="42"/>
      <c r="I18" s="26"/>
      <c r="J18" s="14"/>
      <c r="K18" s="12"/>
      <c r="L18" s="12"/>
      <c r="M18" s="12"/>
      <c r="N18" s="37"/>
      <c r="O18" s="55">
        <f t="shared" si="6"/>
        <v>0</v>
      </c>
      <c r="P18" s="67">
        <f t="shared" si="7"/>
        <v>0</v>
      </c>
      <c r="Q18" s="68">
        <f t="shared" si="8"/>
        <v>0</v>
      </c>
    </row>
    <row r="19" spans="1:17" ht="33.75" customHeight="1">
      <c r="A19" s="84" t="str">
        <f>'DIA 26'!A19</f>
        <v>ZN</v>
      </c>
      <c r="B19" s="24"/>
      <c r="C19" s="61"/>
      <c r="D19" s="72"/>
      <c r="E19" s="12"/>
      <c r="F19" s="12"/>
      <c r="G19" s="27"/>
      <c r="H19" s="42"/>
      <c r="I19" s="26"/>
      <c r="J19" s="14"/>
      <c r="K19" s="12"/>
      <c r="L19" s="12"/>
      <c r="M19" s="12"/>
      <c r="N19" s="37"/>
      <c r="O19" s="55">
        <f t="shared" si="6"/>
        <v>0</v>
      </c>
      <c r="P19" s="67">
        <f t="shared" si="7"/>
        <v>0</v>
      </c>
      <c r="Q19" s="68">
        <f t="shared" si="8"/>
        <v>0</v>
      </c>
    </row>
    <row r="20" spans="1:17" ht="33.75" customHeight="1">
      <c r="A20" s="84" t="str">
        <f>'DIA 26'!A20</f>
        <v>CBP-001 (BAJO PERFIL)</v>
      </c>
      <c r="B20" s="24"/>
      <c r="C20" s="61"/>
      <c r="D20" s="72"/>
      <c r="E20" s="12"/>
      <c r="F20" s="12"/>
      <c r="G20" s="27"/>
      <c r="H20" s="42"/>
      <c r="I20" s="26"/>
      <c r="J20" s="14"/>
      <c r="K20" s="12"/>
      <c r="L20" s="12"/>
      <c r="M20" s="12"/>
      <c r="N20" s="37"/>
      <c r="O20" s="55">
        <f t="shared" si="6"/>
        <v>0</v>
      </c>
      <c r="P20" s="67">
        <f t="shared" si="7"/>
        <v>0</v>
      </c>
      <c r="Q20" s="68">
        <f t="shared" si="8"/>
        <v>0</v>
      </c>
    </row>
    <row r="21" spans="1:17" ht="33.75" customHeight="1">
      <c r="A21" s="84" t="str">
        <f>'DIA 26'!A21</f>
        <v>MG-105</v>
      </c>
      <c r="B21" s="24"/>
      <c r="C21" s="61"/>
      <c r="D21" s="72"/>
      <c r="E21" s="12"/>
      <c r="F21" s="12"/>
      <c r="G21" s="27"/>
      <c r="H21" s="42"/>
      <c r="I21" s="26"/>
      <c r="J21" s="14"/>
      <c r="K21" s="12"/>
      <c r="L21" s="12"/>
      <c r="M21" s="12"/>
      <c r="N21" s="37"/>
      <c r="O21" s="55">
        <f t="shared" si="6"/>
        <v>0</v>
      </c>
      <c r="P21" s="67">
        <f t="shared" si="7"/>
        <v>0</v>
      </c>
      <c r="Q21" s="68">
        <f t="shared" si="8"/>
        <v>0</v>
      </c>
    </row>
    <row r="22" spans="1:17" ht="33.75" customHeight="1">
      <c r="A22" s="84" t="str">
        <f>'DIA 26'!A22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6"/>
        <v>0</v>
      </c>
      <c r="P22" s="67">
        <f t="shared" si="7"/>
        <v>0</v>
      </c>
      <c r="Q22" s="68">
        <f t="shared" si="8"/>
        <v>0</v>
      </c>
    </row>
    <row r="23" spans="1:17" ht="33.75" customHeight="1">
      <c r="A23" s="84" t="str">
        <f>'DIA 26'!A23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6"/>
        <v>0</v>
      </c>
      <c r="P23" s="67">
        <f t="shared" si="7"/>
        <v>0</v>
      </c>
      <c r="Q23" s="68">
        <f t="shared" si="8"/>
        <v>0</v>
      </c>
    </row>
    <row r="24" spans="1:17" ht="33.75" customHeight="1">
      <c r="A24" s="84" t="str">
        <f>'DIA 26'!A24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6"/>
        <v>0</v>
      </c>
      <c r="P24" s="67">
        <f t="shared" si="7"/>
        <v>0</v>
      </c>
      <c r="Q24" s="68">
        <f t="shared" si="8"/>
        <v>0</v>
      </c>
    </row>
    <row r="25" spans="1:17" ht="33.75" customHeight="1">
      <c r="A25" s="84" t="str">
        <f>'DIA 26'!A25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6"/>
        <v>0</v>
      </c>
      <c r="P25" s="67">
        <f t="shared" si="7"/>
        <v>0</v>
      </c>
      <c r="Q25" s="68">
        <f t="shared" si="8"/>
        <v>0</v>
      </c>
    </row>
    <row r="26" spans="1:17" ht="33.75" customHeight="1">
      <c r="A26" s="84" t="str">
        <f>'DIA 26'!A26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6"/>
        <v>0</v>
      </c>
      <c r="P26" s="67">
        <f t="shared" si="7"/>
        <v>0</v>
      </c>
      <c r="Q26" s="68">
        <f t="shared" si="8"/>
        <v>0</v>
      </c>
    </row>
    <row r="27" spans="1:17" ht="33.75" customHeight="1">
      <c r="A27" s="84" t="str">
        <f>'DIA 26'!A27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41"/>
      <c r="O27" s="55">
        <f t="shared" si="6"/>
        <v>0</v>
      </c>
      <c r="P27" s="67">
        <f t="shared" si="7"/>
        <v>0</v>
      </c>
      <c r="Q27" s="68">
        <f t="shared" si="8"/>
        <v>0</v>
      </c>
    </row>
    <row r="28" spans="1:17" ht="33.75" customHeight="1">
      <c r="A28" s="84" t="str">
        <f>'DIA 26'!A28</f>
        <v>MG-111</v>
      </c>
      <c r="B28" s="24"/>
      <c r="C28" s="62"/>
      <c r="D28" s="57"/>
      <c r="E28" s="13"/>
      <c r="F28" s="12"/>
      <c r="G28" s="28"/>
      <c r="H28" s="42"/>
      <c r="I28" s="26"/>
      <c r="J28" s="16"/>
      <c r="K28" s="17"/>
      <c r="L28" s="17"/>
      <c r="M28" s="17"/>
      <c r="N28" s="37"/>
      <c r="O28" s="55">
        <f t="shared" si="6"/>
        <v>0</v>
      </c>
      <c r="P28" s="67">
        <f t="shared" si="7"/>
        <v>0</v>
      </c>
      <c r="Q28" s="68">
        <f t="shared" si="8"/>
        <v>0</v>
      </c>
    </row>
    <row r="29" spans="1:17" ht="33.75" customHeight="1">
      <c r="A29" s="84" t="str">
        <f>'DIA 26'!A29</f>
        <v>MG-120</v>
      </c>
      <c r="B29" s="24"/>
      <c r="C29" s="62"/>
      <c r="D29" s="57"/>
      <c r="E29" s="13"/>
      <c r="F29" s="12"/>
      <c r="G29" s="28"/>
      <c r="H29" s="42"/>
      <c r="I29" s="26"/>
      <c r="J29" s="16"/>
      <c r="K29" s="13"/>
      <c r="L29" s="13"/>
      <c r="M29" s="13"/>
      <c r="N29" s="41"/>
      <c r="O29" s="55">
        <f t="shared" si="6"/>
        <v>0</v>
      </c>
      <c r="P29" s="67">
        <f t="shared" si="7"/>
        <v>0</v>
      </c>
      <c r="Q29" s="68">
        <f t="shared" si="8"/>
        <v>0</v>
      </c>
    </row>
    <row r="30" spans="1:17" ht="33.75" customHeight="1">
      <c r="A30" s="84" t="str">
        <f>'DIA 26'!A30</f>
        <v>PROSERMIN</v>
      </c>
      <c r="B30" s="24"/>
      <c r="C30" s="62"/>
      <c r="D30" s="57"/>
      <c r="E30" s="13"/>
      <c r="F30" s="12"/>
      <c r="G30" s="28"/>
      <c r="H30" s="42"/>
      <c r="I30" s="26"/>
      <c r="J30" s="16"/>
      <c r="K30" s="17"/>
      <c r="L30" s="17"/>
      <c r="M30" s="17"/>
      <c r="N30" s="37"/>
      <c r="O30" s="55">
        <f t="shared" ref="O30:O34" si="9">J30+C30</f>
        <v>0</v>
      </c>
      <c r="P30" s="67">
        <f t="shared" ref="P30:P33" si="10">G30-B30</f>
        <v>0</v>
      </c>
      <c r="Q30" s="68">
        <f t="shared" ref="Q30:Q33" si="11">N30-I30</f>
        <v>0</v>
      </c>
    </row>
    <row r="31" spans="1:17" ht="33.75" customHeight="1">
      <c r="A31" s="84" t="str">
        <f>'DIA 26'!A31</f>
        <v>ST-060</v>
      </c>
      <c r="B31" s="24"/>
      <c r="C31" s="62"/>
      <c r="D31" s="57"/>
      <c r="E31" s="13"/>
      <c r="F31" s="12"/>
      <c r="G31" s="28"/>
      <c r="H31" s="42"/>
      <c r="I31" s="26"/>
      <c r="J31" s="16"/>
      <c r="K31" s="13"/>
      <c r="L31" s="13"/>
      <c r="M31" s="13"/>
      <c r="N31" s="41"/>
      <c r="O31" s="55">
        <f t="shared" si="9"/>
        <v>0</v>
      </c>
      <c r="P31" s="67">
        <f t="shared" si="10"/>
        <v>0</v>
      </c>
      <c r="Q31" s="68">
        <f t="shared" si="11"/>
        <v>0</v>
      </c>
    </row>
    <row r="32" spans="1:17" ht="33.75" customHeight="1">
      <c r="A32" s="84" t="str">
        <f>'DIA 26'!A32</f>
        <v>ST-53</v>
      </c>
      <c r="B32" s="24"/>
      <c r="C32" s="62"/>
      <c r="D32" s="57"/>
      <c r="E32" s="13"/>
      <c r="F32" s="12"/>
      <c r="G32" s="28"/>
      <c r="H32" s="42"/>
      <c r="I32" s="26"/>
      <c r="J32" s="16"/>
      <c r="K32" s="17"/>
      <c r="L32" s="17"/>
      <c r="M32" s="17"/>
      <c r="N32" s="37"/>
      <c r="O32" s="55">
        <f t="shared" si="9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26'!A33</f>
        <v>ST-039</v>
      </c>
      <c r="B33" s="24"/>
      <c r="C33" s="62"/>
      <c r="D33" s="57"/>
      <c r="E33" s="13"/>
      <c r="F33" s="12"/>
      <c r="G33" s="28"/>
      <c r="H33" s="43"/>
      <c r="I33" s="26"/>
      <c r="J33" s="16"/>
      <c r="K33" s="13"/>
      <c r="L33" s="13"/>
      <c r="M33" s="13"/>
      <c r="N33" s="41"/>
      <c r="O33" s="55">
        <f t="shared" si="9"/>
        <v>0</v>
      </c>
      <c r="P33" s="67">
        <f t="shared" si="10"/>
        <v>0</v>
      </c>
      <c r="Q33" s="68">
        <f t="shared" si="11"/>
        <v>0</v>
      </c>
    </row>
    <row r="34" spans="1:21" ht="33.75" customHeight="1" thickBot="1">
      <c r="A34" s="84" t="str">
        <f>'DIA 26'!A34</f>
        <v>JL-025</v>
      </c>
      <c r="B34" s="24"/>
      <c r="C34" s="62"/>
      <c r="D34" s="57"/>
      <c r="E34" s="13"/>
      <c r="F34" s="17"/>
      <c r="G34" s="28"/>
      <c r="H34" s="44"/>
      <c r="I34" s="39"/>
      <c r="J34" s="33"/>
      <c r="K34" s="34"/>
      <c r="L34" s="34"/>
      <c r="M34" s="34"/>
      <c r="N34" s="40"/>
      <c r="O34" s="55">
        <f t="shared" si="9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0</v>
      </c>
      <c r="D35" s="10"/>
      <c r="E35" s="11"/>
      <c r="F35" s="11"/>
      <c r="G35" s="11"/>
      <c r="H35" s="11"/>
      <c r="I35" s="11"/>
      <c r="J35" s="59">
        <f>SUM(J7:J34)</f>
        <v>0</v>
      </c>
      <c r="K35" s="50"/>
      <c r="L35" s="50"/>
      <c r="M35" s="49"/>
      <c r="N35" s="49"/>
      <c r="O35" s="85">
        <f>C35+J35</f>
        <v>0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Q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40" priority="1" operator="containsText" text="NO TRABAJO">
      <formula>NOT(ISERROR(SEARCH("NO TRABAJO",O7)))</formula>
    </cfRule>
    <cfRule type="containsText" dxfId="39" priority="2" operator="containsText" text="FUERA DE SERVICIO">
      <formula>NOT(ISERROR(SEARCH("FUERA DE SERVICIO",O7)))</formula>
    </cfRule>
    <cfRule type="containsText" dxfId="38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2526D-0253-41B1-A991-9B99E30797C9}">
  <sheetPr>
    <pageSetUpPr fitToPage="1"/>
  </sheetPr>
  <dimension ref="A1:U56"/>
  <sheetViews>
    <sheetView showGridLines="0" view="pageBreakPreview" topLeftCell="A3" zoomScale="50" zoomScaleNormal="100" zoomScaleSheetLayoutView="50" workbookViewId="0">
      <selection activeCell="O7" sqref="O7:Q16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27'!Q2+O2</f>
        <v>16671</v>
      </c>
      <c r="Q2" s="160">
        <f>P2-O35</f>
        <v>16671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64"/>
      <c r="P4" s="165"/>
      <c r="Q4" s="166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2"/>
      <c r="P5" s="193"/>
      <c r="Q5" s="194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27'!O6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27'!A7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27'!A8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16" si="3">J8+C8</f>
        <v>0</v>
      </c>
      <c r="P8" s="67">
        <f t="shared" ref="P8:P16" si="4">G8-B8</f>
        <v>0</v>
      </c>
      <c r="Q8" s="68">
        <f t="shared" ref="Q8:Q16" si="5">N8-I8</f>
        <v>0</v>
      </c>
    </row>
    <row r="9" spans="1:17" ht="33.75" customHeight="1">
      <c r="A9" s="84" t="str">
        <f>'DIA 27'!A9</f>
        <v>ST-036 R1300</v>
      </c>
      <c r="B9" s="24"/>
      <c r="C9" s="61"/>
      <c r="D9" s="72"/>
      <c r="E9" s="12"/>
      <c r="F9" s="12"/>
      <c r="G9" s="27"/>
      <c r="H9" s="42"/>
      <c r="I9" s="26"/>
      <c r="J9" s="14"/>
      <c r="K9" s="12"/>
      <c r="L9" s="12"/>
      <c r="M9" s="12"/>
      <c r="N9" s="37"/>
      <c r="O9" s="55">
        <f t="shared" si="3"/>
        <v>0</v>
      </c>
      <c r="P9" s="67">
        <f t="shared" si="4"/>
        <v>0</v>
      </c>
      <c r="Q9" s="68">
        <f t="shared" si="5"/>
        <v>0</v>
      </c>
    </row>
    <row r="10" spans="1:17" ht="33.75" customHeight="1">
      <c r="A10" s="84" t="str">
        <f>'DIA 27'!A10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si="3"/>
        <v>0</v>
      </c>
      <c r="P10" s="67">
        <f t="shared" si="4"/>
        <v>0</v>
      </c>
      <c r="Q10" s="68">
        <f t="shared" si="5"/>
        <v>0</v>
      </c>
    </row>
    <row r="11" spans="1:17" ht="33.75" customHeight="1">
      <c r="A11" s="84" t="str">
        <f>'DIA 27'!A11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3"/>
        <v>0</v>
      </c>
      <c r="P11" s="67">
        <f t="shared" si="4"/>
        <v>0</v>
      </c>
      <c r="Q11" s="68">
        <f t="shared" si="5"/>
        <v>0</v>
      </c>
    </row>
    <row r="12" spans="1:17" ht="33.75" customHeight="1">
      <c r="A12" s="84" t="str">
        <f>'DIA 27'!A12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3"/>
        <v>0</v>
      </c>
      <c r="P12" s="67">
        <f t="shared" si="4"/>
        <v>0</v>
      </c>
      <c r="Q12" s="68">
        <f t="shared" si="5"/>
        <v>0</v>
      </c>
    </row>
    <row r="13" spans="1:17" ht="33.75" customHeight="1">
      <c r="A13" s="84" t="str">
        <f>'DIA 27'!A13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3"/>
        <v>0</v>
      </c>
      <c r="P13" s="67">
        <f t="shared" si="4"/>
        <v>0</v>
      </c>
      <c r="Q13" s="68">
        <f t="shared" si="5"/>
        <v>0</v>
      </c>
    </row>
    <row r="14" spans="1:17" ht="33.75" customHeight="1">
      <c r="A14" s="84" t="str">
        <f>'DIA 27'!A14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3"/>
        <v>0</v>
      </c>
      <c r="P14" s="67">
        <f t="shared" si="4"/>
        <v>0</v>
      </c>
      <c r="Q14" s="68">
        <f t="shared" si="5"/>
        <v>0</v>
      </c>
    </row>
    <row r="15" spans="1:17" ht="33.75" customHeight="1">
      <c r="A15" s="84" t="str">
        <f>'DIA 27'!A15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si="3"/>
        <v>0</v>
      </c>
      <c r="P15" s="67">
        <f t="shared" si="4"/>
        <v>0</v>
      </c>
      <c r="Q15" s="68">
        <f t="shared" si="5"/>
        <v>0</v>
      </c>
    </row>
    <row r="16" spans="1:17" ht="33.75" customHeight="1">
      <c r="A16" s="84" t="str">
        <f>'DIA 27'!A16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3"/>
        <v>0</v>
      </c>
      <c r="P16" s="67">
        <f t="shared" si="4"/>
        <v>0</v>
      </c>
      <c r="Q16" s="68">
        <f t="shared" si="5"/>
        <v>0</v>
      </c>
    </row>
    <row r="17" spans="1:17" ht="33.75" customHeight="1">
      <c r="A17" s="84" t="str">
        <f>'DIA 27'!A17</f>
        <v>RE-009 (RETROEXCAVADORA)</v>
      </c>
      <c r="B17" s="24"/>
      <c r="C17" s="61"/>
      <c r="D17" s="72"/>
      <c r="E17" s="12"/>
      <c r="F17" s="12"/>
      <c r="G17" s="27"/>
      <c r="H17" s="42"/>
      <c r="I17" s="26"/>
      <c r="J17" s="14"/>
      <c r="K17" s="12"/>
      <c r="L17" s="12"/>
      <c r="M17" s="12"/>
      <c r="N17" s="37"/>
      <c r="O17" s="55">
        <f t="shared" ref="O17:O29" si="6">J17+C17</f>
        <v>0</v>
      </c>
      <c r="P17" s="67">
        <f t="shared" ref="P17:P29" si="7">G17-B17</f>
        <v>0</v>
      </c>
      <c r="Q17" s="68">
        <f t="shared" ref="Q17:Q29" si="8">N17-I17</f>
        <v>0</v>
      </c>
    </row>
    <row r="18" spans="1:17" ht="33.75" customHeight="1">
      <c r="A18" s="84" t="str">
        <f>'DIA 27'!A18</f>
        <v>RE-010 (RETROEXCAVADORA)</v>
      </c>
      <c r="B18" s="24"/>
      <c r="C18" s="61"/>
      <c r="D18" s="72"/>
      <c r="E18" s="12"/>
      <c r="F18" s="12"/>
      <c r="G18" s="27"/>
      <c r="H18" s="42"/>
      <c r="I18" s="26"/>
      <c r="J18" s="14"/>
      <c r="K18" s="12"/>
      <c r="L18" s="12"/>
      <c r="M18" s="12"/>
      <c r="N18" s="37"/>
      <c r="O18" s="55">
        <f t="shared" si="6"/>
        <v>0</v>
      </c>
      <c r="P18" s="67">
        <f t="shared" si="7"/>
        <v>0</v>
      </c>
      <c r="Q18" s="68">
        <f t="shared" si="8"/>
        <v>0</v>
      </c>
    </row>
    <row r="19" spans="1:17" ht="33.75" customHeight="1">
      <c r="A19" s="84" t="str">
        <f>'DIA 27'!A19</f>
        <v>ZN</v>
      </c>
      <c r="B19" s="24"/>
      <c r="C19" s="61"/>
      <c r="D19" s="72"/>
      <c r="E19" s="12"/>
      <c r="F19" s="12"/>
      <c r="G19" s="27"/>
      <c r="H19" s="42"/>
      <c r="I19" s="26"/>
      <c r="J19" s="14"/>
      <c r="K19" s="12"/>
      <c r="L19" s="12"/>
      <c r="M19" s="12"/>
      <c r="N19" s="37"/>
      <c r="O19" s="55">
        <f t="shared" si="6"/>
        <v>0</v>
      </c>
      <c r="P19" s="67">
        <f t="shared" si="7"/>
        <v>0</v>
      </c>
      <c r="Q19" s="68">
        <f t="shared" si="8"/>
        <v>0</v>
      </c>
    </row>
    <row r="20" spans="1:17" ht="33.75" customHeight="1">
      <c r="A20" s="84" t="str">
        <f>'DIA 27'!A20</f>
        <v>CBP-001 (BAJO PERFIL)</v>
      </c>
      <c r="B20" s="24"/>
      <c r="C20" s="61"/>
      <c r="D20" s="72"/>
      <c r="E20" s="12"/>
      <c r="F20" s="12"/>
      <c r="G20" s="27"/>
      <c r="H20" s="42"/>
      <c r="I20" s="26"/>
      <c r="J20" s="14"/>
      <c r="K20" s="12"/>
      <c r="L20" s="12"/>
      <c r="M20" s="12"/>
      <c r="N20" s="37"/>
      <c r="O20" s="55">
        <f t="shared" si="6"/>
        <v>0</v>
      </c>
      <c r="P20" s="67">
        <f t="shared" si="7"/>
        <v>0</v>
      </c>
      <c r="Q20" s="68">
        <f t="shared" si="8"/>
        <v>0</v>
      </c>
    </row>
    <row r="21" spans="1:17" ht="33.75" customHeight="1">
      <c r="A21" s="84" t="str">
        <f>'DIA 27'!A21</f>
        <v>MG-105</v>
      </c>
      <c r="B21" s="24"/>
      <c r="C21" s="61"/>
      <c r="D21" s="72"/>
      <c r="E21" s="12"/>
      <c r="F21" s="12"/>
      <c r="G21" s="27"/>
      <c r="H21" s="42"/>
      <c r="I21" s="26"/>
      <c r="J21" s="14"/>
      <c r="K21" s="12"/>
      <c r="L21" s="12"/>
      <c r="M21" s="12"/>
      <c r="N21" s="37"/>
      <c r="O21" s="55">
        <f t="shared" si="6"/>
        <v>0</v>
      </c>
      <c r="P21" s="67">
        <f t="shared" si="7"/>
        <v>0</v>
      </c>
      <c r="Q21" s="68">
        <f t="shared" si="8"/>
        <v>0</v>
      </c>
    </row>
    <row r="22" spans="1:17" ht="33.75" customHeight="1">
      <c r="A22" s="84" t="str">
        <f>'DIA 27'!A22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6"/>
        <v>0</v>
      </c>
      <c r="P22" s="67">
        <f t="shared" si="7"/>
        <v>0</v>
      </c>
      <c r="Q22" s="68">
        <f t="shared" si="8"/>
        <v>0</v>
      </c>
    </row>
    <row r="23" spans="1:17" ht="33.75" customHeight="1">
      <c r="A23" s="84" t="str">
        <f>'DIA 27'!A23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6"/>
        <v>0</v>
      </c>
      <c r="P23" s="67">
        <f t="shared" si="7"/>
        <v>0</v>
      </c>
      <c r="Q23" s="68">
        <f t="shared" si="8"/>
        <v>0</v>
      </c>
    </row>
    <row r="24" spans="1:17" ht="33.75" customHeight="1">
      <c r="A24" s="84" t="str">
        <f>'DIA 27'!A24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6"/>
        <v>0</v>
      </c>
      <c r="P24" s="67">
        <f t="shared" si="7"/>
        <v>0</v>
      </c>
      <c r="Q24" s="68">
        <f t="shared" si="8"/>
        <v>0</v>
      </c>
    </row>
    <row r="25" spans="1:17" ht="33.75" customHeight="1">
      <c r="A25" s="84" t="str">
        <f>'DIA 27'!A25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6"/>
        <v>0</v>
      </c>
      <c r="P25" s="67">
        <f t="shared" si="7"/>
        <v>0</v>
      </c>
      <c r="Q25" s="68">
        <f t="shared" si="8"/>
        <v>0</v>
      </c>
    </row>
    <row r="26" spans="1:17" ht="33.75" customHeight="1">
      <c r="A26" s="84" t="str">
        <f>'DIA 27'!A26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6"/>
        <v>0</v>
      </c>
      <c r="P26" s="67">
        <f t="shared" si="7"/>
        <v>0</v>
      </c>
      <c r="Q26" s="68">
        <f t="shared" si="8"/>
        <v>0</v>
      </c>
    </row>
    <row r="27" spans="1:17" ht="33.75" customHeight="1">
      <c r="A27" s="84" t="str">
        <f>'DIA 27'!A27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7"/>
      <c r="L27" s="17"/>
      <c r="M27" s="17"/>
      <c r="N27" s="37"/>
      <c r="O27" s="55">
        <f t="shared" si="6"/>
        <v>0</v>
      </c>
      <c r="P27" s="67">
        <f t="shared" si="7"/>
        <v>0</v>
      </c>
      <c r="Q27" s="68">
        <f t="shared" si="8"/>
        <v>0</v>
      </c>
    </row>
    <row r="28" spans="1:17" ht="33.75" customHeight="1">
      <c r="A28" s="84" t="str">
        <f>'DIA 27'!A28</f>
        <v>MG-111</v>
      </c>
      <c r="B28" s="24"/>
      <c r="C28" s="62"/>
      <c r="D28" s="57"/>
      <c r="E28" s="13"/>
      <c r="F28" s="12"/>
      <c r="G28" s="28"/>
      <c r="H28" s="42"/>
      <c r="I28" s="26"/>
      <c r="J28" s="16"/>
      <c r="K28" s="17"/>
      <c r="L28" s="17"/>
      <c r="M28" s="17"/>
      <c r="N28" s="37"/>
      <c r="O28" s="55">
        <f t="shared" si="6"/>
        <v>0</v>
      </c>
      <c r="P28" s="67">
        <f t="shared" si="7"/>
        <v>0</v>
      </c>
      <c r="Q28" s="68">
        <f t="shared" si="8"/>
        <v>0</v>
      </c>
    </row>
    <row r="29" spans="1:17" ht="33.75" customHeight="1">
      <c r="A29" s="84" t="str">
        <f>'DIA 27'!A29</f>
        <v>MG-120</v>
      </c>
      <c r="B29" s="24"/>
      <c r="C29" s="62"/>
      <c r="D29" s="57"/>
      <c r="E29" s="13"/>
      <c r="F29" s="12"/>
      <c r="G29" s="28"/>
      <c r="H29" s="42"/>
      <c r="I29" s="26"/>
      <c r="J29" s="16"/>
      <c r="K29" s="17"/>
      <c r="L29" s="17"/>
      <c r="M29" s="17"/>
      <c r="N29" s="37"/>
      <c r="O29" s="55">
        <f t="shared" si="6"/>
        <v>0</v>
      </c>
      <c r="P29" s="67">
        <f t="shared" si="7"/>
        <v>0</v>
      </c>
      <c r="Q29" s="68">
        <f t="shared" si="8"/>
        <v>0</v>
      </c>
    </row>
    <row r="30" spans="1:17" ht="33.75" customHeight="1">
      <c r="A30" s="84" t="str">
        <f>'DIA 27'!A30</f>
        <v>PROSERMIN</v>
      </c>
      <c r="B30" s="24"/>
      <c r="C30" s="62"/>
      <c r="D30" s="57"/>
      <c r="E30" s="13"/>
      <c r="F30" s="12"/>
      <c r="G30" s="28"/>
      <c r="H30" s="42"/>
      <c r="I30" s="26"/>
      <c r="J30" s="16"/>
      <c r="K30" s="17"/>
      <c r="L30" s="17"/>
      <c r="M30" s="17"/>
      <c r="N30" s="37"/>
      <c r="O30" s="55">
        <f t="shared" ref="O30:O34" si="9">J30+C30</f>
        <v>0</v>
      </c>
      <c r="P30" s="67">
        <f t="shared" ref="P30:P33" si="10">G30-B30</f>
        <v>0</v>
      </c>
      <c r="Q30" s="68">
        <f t="shared" ref="Q30:Q33" si="11">N30-I30</f>
        <v>0</v>
      </c>
    </row>
    <row r="31" spans="1:17" ht="33.75" customHeight="1">
      <c r="A31" s="84" t="str">
        <f>'DIA 27'!A31</f>
        <v>ST-060</v>
      </c>
      <c r="B31" s="24"/>
      <c r="C31" s="62"/>
      <c r="D31" s="57"/>
      <c r="E31" s="13"/>
      <c r="F31" s="12"/>
      <c r="G31" s="28"/>
      <c r="H31" s="42"/>
      <c r="I31" s="26"/>
      <c r="J31" s="16"/>
      <c r="K31" s="17"/>
      <c r="L31" s="17"/>
      <c r="M31" s="17"/>
      <c r="N31" s="37"/>
      <c r="O31" s="55">
        <f t="shared" si="9"/>
        <v>0</v>
      </c>
      <c r="P31" s="67">
        <f t="shared" si="10"/>
        <v>0</v>
      </c>
      <c r="Q31" s="68">
        <f t="shared" si="11"/>
        <v>0</v>
      </c>
    </row>
    <row r="32" spans="1:17" ht="33.75" customHeight="1">
      <c r="A32" s="84" t="str">
        <f>'DIA 27'!A32</f>
        <v>ST-53</v>
      </c>
      <c r="B32" s="24"/>
      <c r="C32" s="62"/>
      <c r="D32" s="57"/>
      <c r="E32" s="13"/>
      <c r="F32" s="12"/>
      <c r="G32" s="28"/>
      <c r="H32" s="42"/>
      <c r="I32" s="26"/>
      <c r="J32" s="16"/>
      <c r="K32" s="17"/>
      <c r="L32" s="17"/>
      <c r="M32" s="17"/>
      <c r="N32" s="37"/>
      <c r="O32" s="55">
        <f t="shared" si="9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27'!A33</f>
        <v>ST-039</v>
      </c>
      <c r="B33" s="24"/>
      <c r="C33" s="62"/>
      <c r="D33" s="57"/>
      <c r="E33" s="13"/>
      <c r="F33" s="12"/>
      <c r="G33" s="28"/>
      <c r="H33" s="43"/>
      <c r="I33" s="26"/>
      <c r="J33" s="16"/>
      <c r="K33" s="17"/>
      <c r="L33" s="17"/>
      <c r="M33" s="17"/>
      <c r="N33" s="41"/>
      <c r="O33" s="55">
        <f t="shared" si="9"/>
        <v>0</v>
      </c>
      <c r="P33" s="67">
        <f t="shared" si="10"/>
        <v>0</v>
      </c>
      <c r="Q33" s="68">
        <f t="shared" si="11"/>
        <v>0</v>
      </c>
    </row>
    <row r="34" spans="1:21" ht="33.75" customHeight="1" thickBot="1">
      <c r="A34" s="84" t="str">
        <f>'DIA 27'!A34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 t="shared" si="9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0</v>
      </c>
      <c r="D35" s="10"/>
      <c r="E35" s="11"/>
      <c r="F35" s="11"/>
      <c r="G35" s="11"/>
      <c r="H35" s="11"/>
      <c r="I35" s="11"/>
      <c r="J35" s="59">
        <f>SUM(J7:J34)</f>
        <v>0</v>
      </c>
      <c r="K35" s="50"/>
      <c r="L35" s="50"/>
      <c r="M35" s="49"/>
      <c r="N35" s="49"/>
      <c r="O35" s="85">
        <f>C35+J35</f>
        <v>0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Q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37" priority="1" operator="containsText" text="NO TRABAJO">
      <formula>NOT(ISERROR(SEARCH("NO TRABAJO",O7)))</formula>
    </cfRule>
    <cfRule type="containsText" dxfId="36" priority="2" operator="containsText" text="FUERA DE SERVICIO">
      <formula>NOT(ISERROR(SEARCH("FUERA DE SERVICIO",O7)))</formula>
    </cfRule>
    <cfRule type="containsText" dxfId="35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85FB-F1EB-4090-856E-1020466D4ACB}">
  <sheetPr>
    <pageSetUpPr fitToPage="1"/>
  </sheetPr>
  <dimension ref="A1:U56"/>
  <sheetViews>
    <sheetView showGridLines="0" view="pageBreakPreview" topLeftCell="A4" zoomScale="50" zoomScaleNormal="100" zoomScaleSheetLayoutView="50" workbookViewId="0">
      <selection activeCell="O7" sqref="O7:Q18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28'!Q2+O2</f>
        <v>16671</v>
      </c>
      <c r="Q2" s="160">
        <f>P2-O35</f>
        <v>16671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64"/>
      <c r="P4" s="165"/>
      <c r="Q4" s="166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2"/>
      <c r="P5" s="193"/>
      <c r="Q5" s="194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28'!O6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28'!A7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28'!A8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18" si="3">J8+C8</f>
        <v>0</v>
      </c>
      <c r="P8" s="67">
        <f t="shared" ref="P8:P18" si="4">G8-B8</f>
        <v>0</v>
      </c>
      <c r="Q8" s="68">
        <f t="shared" ref="Q8:Q18" si="5">N8-I8</f>
        <v>0</v>
      </c>
    </row>
    <row r="9" spans="1:17" ht="33.75" customHeight="1">
      <c r="A9" s="84" t="str">
        <f>'DIA 28'!A9</f>
        <v>ST-036 R1300</v>
      </c>
      <c r="B9" s="24"/>
      <c r="C9" s="61"/>
      <c r="D9" s="72"/>
      <c r="E9" s="12"/>
      <c r="F9" s="12"/>
      <c r="G9" s="27"/>
      <c r="H9" s="42"/>
      <c r="I9" s="26"/>
      <c r="J9" s="14"/>
      <c r="K9" s="12"/>
      <c r="L9" s="12"/>
      <c r="M9" s="12"/>
      <c r="N9" s="37"/>
      <c r="O9" s="55">
        <f t="shared" si="3"/>
        <v>0</v>
      </c>
      <c r="P9" s="67">
        <f t="shared" si="4"/>
        <v>0</v>
      </c>
      <c r="Q9" s="68">
        <f t="shared" si="5"/>
        <v>0</v>
      </c>
    </row>
    <row r="10" spans="1:17" ht="33.75" customHeight="1">
      <c r="A10" s="84" t="str">
        <f>'DIA 28'!A10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si="3"/>
        <v>0</v>
      </c>
      <c r="P10" s="67">
        <f t="shared" si="4"/>
        <v>0</v>
      </c>
      <c r="Q10" s="68">
        <f t="shared" si="5"/>
        <v>0</v>
      </c>
    </row>
    <row r="11" spans="1:17" ht="33.75" customHeight="1">
      <c r="A11" s="84" t="str">
        <f>'DIA 28'!A11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3"/>
        <v>0</v>
      </c>
      <c r="P11" s="67">
        <f t="shared" si="4"/>
        <v>0</v>
      </c>
      <c r="Q11" s="68">
        <f t="shared" si="5"/>
        <v>0</v>
      </c>
    </row>
    <row r="12" spans="1:17" ht="33.75" customHeight="1">
      <c r="A12" s="84" t="str">
        <f>'DIA 28'!A12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3"/>
        <v>0</v>
      </c>
      <c r="P12" s="67">
        <f t="shared" si="4"/>
        <v>0</v>
      </c>
      <c r="Q12" s="68">
        <f t="shared" si="5"/>
        <v>0</v>
      </c>
    </row>
    <row r="13" spans="1:17" ht="33.75" customHeight="1">
      <c r="A13" s="84" t="str">
        <f>'DIA 28'!A13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3"/>
        <v>0</v>
      </c>
      <c r="P13" s="67">
        <f t="shared" si="4"/>
        <v>0</v>
      </c>
      <c r="Q13" s="68">
        <f t="shared" si="5"/>
        <v>0</v>
      </c>
    </row>
    <row r="14" spans="1:17" ht="33.75" customHeight="1">
      <c r="A14" s="84" t="str">
        <f>'DIA 28'!A14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3"/>
        <v>0</v>
      </c>
      <c r="P14" s="67">
        <f t="shared" si="4"/>
        <v>0</v>
      </c>
      <c r="Q14" s="68">
        <f t="shared" si="5"/>
        <v>0</v>
      </c>
    </row>
    <row r="15" spans="1:17" ht="33.75" customHeight="1">
      <c r="A15" s="84" t="str">
        <f>'DIA 28'!A15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si="3"/>
        <v>0</v>
      </c>
      <c r="P15" s="67">
        <f t="shared" si="4"/>
        <v>0</v>
      </c>
      <c r="Q15" s="68">
        <f t="shared" si="5"/>
        <v>0</v>
      </c>
    </row>
    <row r="16" spans="1:17" ht="33.75" customHeight="1">
      <c r="A16" s="84" t="str">
        <f>'DIA 28'!A16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3"/>
        <v>0</v>
      </c>
      <c r="P16" s="67">
        <f t="shared" si="4"/>
        <v>0</v>
      </c>
      <c r="Q16" s="68">
        <f t="shared" si="5"/>
        <v>0</v>
      </c>
    </row>
    <row r="17" spans="1:17" ht="33.75" customHeight="1">
      <c r="A17" s="84" t="str">
        <f>'DIA 28'!A17</f>
        <v>RE-009 (RETROEXCAVADORA)</v>
      </c>
      <c r="B17" s="24"/>
      <c r="C17" s="61"/>
      <c r="D17" s="72"/>
      <c r="E17" s="12"/>
      <c r="F17" s="12"/>
      <c r="G17" s="27"/>
      <c r="H17" s="42"/>
      <c r="I17" s="26"/>
      <c r="J17" s="14"/>
      <c r="K17" s="12"/>
      <c r="L17" s="12"/>
      <c r="M17" s="12"/>
      <c r="N17" s="37"/>
      <c r="O17" s="55">
        <f t="shared" si="3"/>
        <v>0</v>
      </c>
      <c r="P17" s="67">
        <f t="shared" si="4"/>
        <v>0</v>
      </c>
      <c r="Q17" s="68">
        <f t="shared" si="5"/>
        <v>0</v>
      </c>
    </row>
    <row r="18" spans="1:17" ht="33.75" customHeight="1">
      <c r="A18" s="84" t="str">
        <f>'DIA 28'!A18</f>
        <v>RE-010 (RETROEXCAVADORA)</v>
      </c>
      <c r="B18" s="24"/>
      <c r="C18" s="61"/>
      <c r="D18" s="72"/>
      <c r="E18" s="12"/>
      <c r="F18" s="12"/>
      <c r="G18" s="27"/>
      <c r="H18" s="42"/>
      <c r="I18" s="26"/>
      <c r="J18" s="14"/>
      <c r="K18" s="12"/>
      <c r="L18" s="12"/>
      <c r="M18" s="12"/>
      <c r="N18" s="37"/>
      <c r="O18" s="55">
        <f t="shared" si="3"/>
        <v>0</v>
      </c>
      <c r="P18" s="67">
        <f t="shared" si="4"/>
        <v>0</v>
      </c>
      <c r="Q18" s="68">
        <f t="shared" si="5"/>
        <v>0</v>
      </c>
    </row>
    <row r="19" spans="1:17" ht="33.75" customHeight="1">
      <c r="A19" s="84" t="str">
        <f>'DIA 28'!A19</f>
        <v>ZN</v>
      </c>
      <c r="B19" s="24"/>
      <c r="C19" s="61"/>
      <c r="D19" s="72"/>
      <c r="E19" s="12"/>
      <c r="F19" s="12"/>
      <c r="G19" s="27"/>
      <c r="H19" s="42"/>
      <c r="I19" s="26"/>
      <c r="J19" s="14"/>
      <c r="K19" s="12"/>
      <c r="L19" s="12"/>
      <c r="M19" s="12"/>
      <c r="N19" s="37"/>
      <c r="O19" s="55">
        <f t="shared" ref="O19:O27" si="6">J19+C19</f>
        <v>0</v>
      </c>
      <c r="P19" s="67">
        <f t="shared" ref="P19:P27" si="7">G19-B19</f>
        <v>0</v>
      </c>
      <c r="Q19" s="68">
        <f t="shared" ref="Q19:Q27" si="8">N19-I19</f>
        <v>0</v>
      </c>
    </row>
    <row r="20" spans="1:17" ht="33.75" customHeight="1">
      <c r="A20" s="84" t="str">
        <f>'DIA 28'!A20</f>
        <v>CBP-001 (BAJO PERFIL)</v>
      </c>
      <c r="B20" s="24"/>
      <c r="C20" s="61"/>
      <c r="D20" s="72"/>
      <c r="E20" s="12"/>
      <c r="F20" s="12"/>
      <c r="G20" s="27"/>
      <c r="H20" s="42"/>
      <c r="I20" s="26"/>
      <c r="J20" s="14"/>
      <c r="K20" s="12"/>
      <c r="L20" s="12"/>
      <c r="M20" s="12"/>
      <c r="N20" s="37"/>
      <c r="O20" s="55">
        <f t="shared" si="6"/>
        <v>0</v>
      </c>
      <c r="P20" s="67">
        <f t="shared" si="7"/>
        <v>0</v>
      </c>
      <c r="Q20" s="68">
        <f t="shared" si="8"/>
        <v>0</v>
      </c>
    </row>
    <row r="21" spans="1:17" ht="33.75" customHeight="1">
      <c r="A21" s="84" t="str">
        <f>'DIA 28'!A21</f>
        <v>MG-105</v>
      </c>
      <c r="B21" s="24"/>
      <c r="C21" s="61"/>
      <c r="D21" s="72"/>
      <c r="E21" s="12"/>
      <c r="F21" s="12"/>
      <c r="G21" s="27"/>
      <c r="H21" s="42"/>
      <c r="I21" s="26"/>
      <c r="J21" s="14"/>
      <c r="K21" s="12"/>
      <c r="L21" s="12"/>
      <c r="M21" s="12"/>
      <c r="N21" s="37"/>
      <c r="O21" s="55">
        <f t="shared" si="6"/>
        <v>0</v>
      </c>
      <c r="P21" s="67">
        <f t="shared" si="7"/>
        <v>0</v>
      </c>
      <c r="Q21" s="68">
        <f t="shared" si="8"/>
        <v>0</v>
      </c>
    </row>
    <row r="22" spans="1:17" ht="33.75" customHeight="1">
      <c r="A22" s="84" t="str">
        <f>'DIA 28'!A22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6"/>
        <v>0</v>
      </c>
      <c r="P22" s="67">
        <f t="shared" si="7"/>
        <v>0</v>
      </c>
      <c r="Q22" s="68">
        <f t="shared" si="8"/>
        <v>0</v>
      </c>
    </row>
    <row r="23" spans="1:17" ht="33.75" customHeight="1">
      <c r="A23" s="84" t="str">
        <f>'DIA 28'!A23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6"/>
        <v>0</v>
      </c>
      <c r="P23" s="67">
        <f t="shared" si="7"/>
        <v>0</v>
      </c>
      <c r="Q23" s="68">
        <f t="shared" si="8"/>
        <v>0</v>
      </c>
    </row>
    <row r="24" spans="1:17" ht="33.75" customHeight="1">
      <c r="A24" s="84" t="str">
        <f>'DIA 28'!A24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6"/>
        <v>0</v>
      </c>
      <c r="P24" s="67">
        <f t="shared" si="7"/>
        <v>0</v>
      </c>
      <c r="Q24" s="68">
        <f t="shared" si="8"/>
        <v>0</v>
      </c>
    </row>
    <row r="25" spans="1:17" ht="33.75" customHeight="1">
      <c r="A25" s="84" t="str">
        <f>'DIA 28'!A25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6"/>
        <v>0</v>
      </c>
      <c r="P25" s="67">
        <f t="shared" si="7"/>
        <v>0</v>
      </c>
      <c r="Q25" s="68">
        <f t="shared" si="8"/>
        <v>0</v>
      </c>
    </row>
    <row r="26" spans="1:17" ht="33.75" customHeight="1">
      <c r="A26" s="84" t="str">
        <f>'DIA 28'!A26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6"/>
        <v>0</v>
      </c>
      <c r="P26" s="67">
        <f t="shared" si="7"/>
        <v>0</v>
      </c>
      <c r="Q26" s="68">
        <f t="shared" si="8"/>
        <v>0</v>
      </c>
    </row>
    <row r="27" spans="1:17" ht="33.75" customHeight="1">
      <c r="A27" s="84" t="str">
        <f>'DIA 28'!A27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41"/>
      <c r="O27" s="55">
        <f t="shared" si="6"/>
        <v>0</v>
      </c>
      <c r="P27" s="67">
        <f t="shared" si="7"/>
        <v>0</v>
      </c>
      <c r="Q27" s="68">
        <f t="shared" si="8"/>
        <v>0</v>
      </c>
    </row>
    <row r="28" spans="1:17" ht="33.75" customHeight="1">
      <c r="A28" s="84" t="str">
        <f>'DIA 28'!A28</f>
        <v>MG-111</v>
      </c>
      <c r="B28" s="24"/>
      <c r="C28" s="62"/>
      <c r="D28" s="57"/>
      <c r="E28" s="13"/>
      <c r="F28" s="12"/>
      <c r="G28" s="28"/>
      <c r="H28" s="42"/>
      <c r="I28" s="26"/>
      <c r="J28" s="15"/>
      <c r="K28" s="13"/>
      <c r="L28" s="13"/>
      <c r="M28" s="13"/>
      <c r="N28" s="38"/>
      <c r="O28" s="55">
        <f t="shared" ref="O28:O34" si="9">J28+C28</f>
        <v>0</v>
      </c>
      <c r="P28" s="67">
        <f t="shared" si="1"/>
        <v>0</v>
      </c>
      <c r="Q28" s="68">
        <f t="shared" si="2"/>
        <v>0</v>
      </c>
    </row>
    <row r="29" spans="1:17" ht="33.75" customHeight="1">
      <c r="A29" s="84" t="str">
        <f>'DIA 28'!A29</f>
        <v>MG-120</v>
      </c>
      <c r="B29" s="24"/>
      <c r="C29" s="62"/>
      <c r="D29" s="57"/>
      <c r="E29" s="13"/>
      <c r="F29" s="12"/>
      <c r="G29" s="28"/>
      <c r="H29" s="42"/>
      <c r="I29" s="26"/>
      <c r="J29" s="15"/>
      <c r="K29" s="13"/>
      <c r="L29" s="13"/>
      <c r="M29" s="13"/>
      <c r="N29" s="37"/>
      <c r="O29" s="55">
        <f t="shared" si="9"/>
        <v>0</v>
      </c>
      <c r="P29" s="67">
        <f t="shared" si="1"/>
        <v>0</v>
      </c>
      <c r="Q29" s="68">
        <f t="shared" si="2"/>
        <v>0</v>
      </c>
    </row>
    <row r="30" spans="1:17" ht="33.75" customHeight="1">
      <c r="A30" s="84" t="str">
        <f>'DIA 28'!A30</f>
        <v>PROSERMIN</v>
      </c>
      <c r="B30" s="24"/>
      <c r="C30" s="62"/>
      <c r="D30" s="57"/>
      <c r="E30" s="13"/>
      <c r="F30" s="12"/>
      <c r="G30" s="28"/>
      <c r="H30" s="42"/>
      <c r="I30" s="26"/>
      <c r="J30" s="15"/>
      <c r="K30" s="13"/>
      <c r="L30" s="13"/>
      <c r="M30" s="13"/>
      <c r="N30" s="37"/>
      <c r="O30" s="55">
        <f t="shared" si="9"/>
        <v>0</v>
      </c>
      <c r="P30" s="67">
        <f t="shared" si="1"/>
        <v>0</v>
      </c>
      <c r="Q30" s="68">
        <f t="shared" si="2"/>
        <v>0</v>
      </c>
    </row>
    <row r="31" spans="1:17" ht="33.75" customHeight="1">
      <c r="A31" s="84" t="str">
        <f>'DIA 28'!A31</f>
        <v>ST-060</v>
      </c>
      <c r="B31" s="24"/>
      <c r="C31" s="62"/>
      <c r="D31" s="57"/>
      <c r="E31" s="13"/>
      <c r="F31" s="12"/>
      <c r="G31" s="28"/>
      <c r="H31" s="42"/>
      <c r="I31" s="26"/>
      <c r="J31" s="15"/>
      <c r="K31" s="13"/>
      <c r="L31" s="13"/>
      <c r="M31" s="13"/>
      <c r="N31" s="37"/>
      <c r="O31" s="55">
        <f t="shared" si="9"/>
        <v>0</v>
      </c>
      <c r="P31" s="67">
        <f t="shared" ref="P31:P33" si="10">G31-B31</f>
        <v>0</v>
      </c>
      <c r="Q31" s="68">
        <f t="shared" ref="Q31:Q33" si="11">N31-I31</f>
        <v>0</v>
      </c>
    </row>
    <row r="32" spans="1:17" ht="33.75" customHeight="1">
      <c r="A32" s="84" t="str">
        <f>'DIA 28'!A32</f>
        <v>ST-53</v>
      </c>
      <c r="B32" s="24"/>
      <c r="C32" s="62"/>
      <c r="D32" s="57"/>
      <c r="E32" s="13"/>
      <c r="F32" s="12"/>
      <c r="G32" s="28"/>
      <c r="H32" s="42"/>
      <c r="I32" s="26"/>
      <c r="J32" s="15"/>
      <c r="K32" s="13"/>
      <c r="L32" s="13"/>
      <c r="M32" s="13"/>
      <c r="N32" s="37"/>
      <c r="O32" s="55">
        <f t="shared" si="9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28'!A33</f>
        <v>ST-039</v>
      </c>
      <c r="B33" s="24"/>
      <c r="C33" s="62"/>
      <c r="D33" s="57"/>
      <c r="E33" s="13"/>
      <c r="F33" s="12"/>
      <c r="G33" s="28"/>
      <c r="H33" s="43"/>
      <c r="I33" s="26"/>
      <c r="J33" s="15"/>
      <c r="K33" s="13"/>
      <c r="L33" s="13"/>
      <c r="M33" s="13"/>
      <c r="N33" s="41"/>
      <c r="O33" s="55">
        <f t="shared" si="9"/>
        <v>0</v>
      </c>
      <c r="P33" s="67">
        <f t="shared" si="10"/>
        <v>0</v>
      </c>
      <c r="Q33" s="68">
        <f t="shared" si="11"/>
        <v>0</v>
      </c>
    </row>
    <row r="34" spans="1:21" ht="33.75" customHeight="1" thickBot="1">
      <c r="A34" s="84" t="str">
        <f>'DIA 28'!A34</f>
        <v>JL-025</v>
      </c>
      <c r="B34" s="24"/>
      <c r="C34" s="62"/>
      <c r="D34" s="57"/>
      <c r="E34" s="13"/>
      <c r="F34" s="17"/>
      <c r="G34" s="28"/>
      <c r="H34" s="44"/>
      <c r="I34" s="39"/>
      <c r="J34" s="33"/>
      <c r="K34" s="34"/>
      <c r="L34" s="34"/>
      <c r="M34" s="34"/>
      <c r="N34" s="40"/>
      <c r="O34" s="55">
        <f t="shared" si="9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0</v>
      </c>
      <c r="D35" s="10"/>
      <c r="E35" s="11"/>
      <c r="F35" s="11"/>
      <c r="G35" s="11"/>
      <c r="H35" s="11"/>
      <c r="I35" s="11"/>
      <c r="J35" s="59">
        <f>SUM(J7:J34)</f>
        <v>0</v>
      </c>
      <c r="K35" s="50"/>
      <c r="L35" s="50"/>
      <c r="M35" s="49"/>
      <c r="N35" s="49"/>
      <c r="O35" s="85">
        <f>C35+J35</f>
        <v>0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Q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34" priority="1" operator="containsText" text="NO TRABAJO">
      <formula>NOT(ISERROR(SEARCH("NO TRABAJO",O7)))</formula>
    </cfRule>
    <cfRule type="containsText" dxfId="33" priority="2" operator="containsText" text="FUERA DE SERVICIO">
      <formula>NOT(ISERROR(SEARCH("FUERA DE SERVICIO",O7)))</formula>
    </cfRule>
    <cfRule type="containsText" dxfId="32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1880-3C19-4984-A2F7-16C33B5A06F2}">
  <sheetPr>
    <pageSetUpPr fitToPage="1"/>
  </sheetPr>
  <dimension ref="A1:U56"/>
  <sheetViews>
    <sheetView showGridLines="0" view="pageBreakPreview" topLeftCell="A6" zoomScale="50" zoomScaleNormal="100" zoomScaleSheetLayoutView="50" workbookViewId="0">
      <selection activeCell="O7" sqref="O7:Q14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29'!Q2+O2</f>
        <v>16671</v>
      </c>
      <c r="Q2" s="160">
        <f>P2-O35</f>
        <v>16671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64"/>
      <c r="P4" s="165"/>
      <c r="Q4" s="166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2"/>
      <c r="P5" s="193"/>
      <c r="Q5" s="194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29'!O6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29'!A7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29'!A8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14" si="3">J8+C8</f>
        <v>0</v>
      </c>
      <c r="P8" s="67">
        <f t="shared" ref="P8:P14" si="4">G8-B8</f>
        <v>0</v>
      </c>
      <c r="Q8" s="68">
        <f t="shared" ref="Q8:Q14" si="5">N8-I8</f>
        <v>0</v>
      </c>
    </row>
    <row r="9" spans="1:17" ht="33.75" customHeight="1">
      <c r="A9" s="84" t="str">
        <f>'DIA 29'!A9</f>
        <v>ST-036 R1300</v>
      </c>
      <c r="B9" s="24"/>
      <c r="C9" s="61"/>
      <c r="D9" s="72"/>
      <c r="E9" s="12"/>
      <c r="F9" s="12"/>
      <c r="G9" s="27"/>
      <c r="H9" s="42"/>
      <c r="I9" s="26"/>
      <c r="J9" s="14"/>
      <c r="K9" s="12"/>
      <c r="L9" s="12"/>
      <c r="M9" s="12"/>
      <c r="N9" s="37"/>
      <c r="O9" s="55">
        <f t="shared" si="3"/>
        <v>0</v>
      </c>
      <c r="P9" s="67">
        <f t="shared" si="4"/>
        <v>0</v>
      </c>
      <c r="Q9" s="68">
        <f t="shared" si="5"/>
        <v>0</v>
      </c>
    </row>
    <row r="10" spans="1:17" ht="33.75" customHeight="1">
      <c r="A10" s="84" t="str">
        <f>'DIA 29'!A10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si="3"/>
        <v>0</v>
      </c>
      <c r="P10" s="67">
        <f t="shared" si="4"/>
        <v>0</v>
      </c>
      <c r="Q10" s="68">
        <f t="shared" si="5"/>
        <v>0</v>
      </c>
    </row>
    <row r="11" spans="1:17" ht="33.75" customHeight="1">
      <c r="A11" s="84" t="str">
        <f>'DIA 29'!A11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3"/>
        <v>0</v>
      </c>
      <c r="P11" s="67">
        <f t="shared" si="4"/>
        <v>0</v>
      </c>
      <c r="Q11" s="68">
        <f t="shared" si="5"/>
        <v>0</v>
      </c>
    </row>
    <row r="12" spans="1:17" ht="33.75" customHeight="1">
      <c r="A12" s="84" t="str">
        <f>'DIA 29'!A12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3"/>
        <v>0</v>
      </c>
      <c r="P12" s="67">
        <f t="shared" si="4"/>
        <v>0</v>
      </c>
      <c r="Q12" s="68">
        <f t="shared" si="5"/>
        <v>0</v>
      </c>
    </row>
    <row r="13" spans="1:17" ht="33.75" customHeight="1">
      <c r="A13" s="84" t="str">
        <f>'DIA 29'!A13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3"/>
        <v>0</v>
      </c>
      <c r="P13" s="67">
        <f t="shared" si="4"/>
        <v>0</v>
      </c>
      <c r="Q13" s="68">
        <f t="shared" si="5"/>
        <v>0</v>
      </c>
    </row>
    <row r="14" spans="1:17" ht="33.75" customHeight="1">
      <c r="A14" s="84" t="str">
        <f>'DIA 29'!A14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3"/>
        <v>0</v>
      </c>
      <c r="P14" s="67">
        <f t="shared" si="4"/>
        <v>0</v>
      </c>
      <c r="Q14" s="68">
        <f t="shared" si="5"/>
        <v>0</v>
      </c>
    </row>
    <row r="15" spans="1:17" ht="33.75" customHeight="1">
      <c r="A15" s="84" t="str">
        <f>'DIA 29'!A15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ref="O15:O34" si="6">J15+C15</f>
        <v>0</v>
      </c>
      <c r="P15" s="67">
        <f t="shared" si="1"/>
        <v>0</v>
      </c>
      <c r="Q15" s="68">
        <f t="shared" si="2"/>
        <v>0</v>
      </c>
    </row>
    <row r="16" spans="1:17" ht="33.75" customHeight="1">
      <c r="A16" s="84" t="str">
        <f>'DIA 29'!A16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ref="O16:O30" si="7">J16+C16</f>
        <v>0</v>
      </c>
      <c r="P16" s="67">
        <f t="shared" ref="P16:P30" si="8">G16-B16</f>
        <v>0</v>
      </c>
      <c r="Q16" s="68">
        <f t="shared" ref="Q16:Q30" si="9">N16-I16</f>
        <v>0</v>
      </c>
    </row>
    <row r="17" spans="1:17" ht="33.75" customHeight="1">
      <c r="A17" s="84" t="str">
        <f>'DIA 29'!A17</f>
        <v>RE-009 (RETROEXCAVADORA)</v>
      </c>
      <c r="B17" s="24"/>
      <c r="C17" s="61"/>
      <c r="D17" s="72"/>
      <c r="E17" s="12"/>
      <c r="F17" s="12"/>
      <c r="G17" s="27"/>
      <c r="H17" s="42"/>
      <c r="I17" s="26"/>
      <c r="J17" s="14"/>
      <c r="K17" s="12"/>
      <c r="L17" s="12"/>
      <c r="M17" s="12"/>
      <c r="N17" s="37"/>
      <c r="O17" s="55">
        <f t="shared" si="7"/>
        <v>0</v>
      </c>
      <c r="P17" s="67">
        <f t="shared" si="8"/>
        <v>0</v>
      </c>
      <c r="Q17" s="68">
        <f t="shared" si="9"/>
        <v>0</v>
      </c>
    </row>
    <row r="18" spans="1:17" ht="33.75" customHeight="1">
      <c r="A18" s="84" t="str">
        <f>'DIA 29'!A18</f>
        <v>RE-010 (RETROEXCAVADORA)</v>
      </c>
      <c r="B18" s="24"/>
      <c r="C18" s="61"/>
      <c r="D18" s="72"/>
      <c r="E18" s="12"/>
      <c r="F18" s="12"/>
      <c r="G18" s="27"/>
      <c r="H18" s="42"/>
      <c r="I18" s="26"/>
      <c r="J18" s="14"/>
      <c r="K18" s="12"/>
      <c r="L18" s="12"/>
      <c r="M18" s="12"/>
      <c r="N18" s="37"/>
      <c r="O18" s="55">
        <f t="shared" si="7"/>
        <v>0</v>
      </c>
      <c r="P18" s="67">
        <f t="shared" si="8"/>
        <v>0</v>
      </c>
      <c r="Q18" s="68">
        <f t="shared" si="9"/>
        <v>0</v>
      </c>
    </row>
    <row r="19" spans="1:17" ht="33.75" customHeight="1">
      <c r="A19" s="84" t="str">
        <f>'DIA 29'!A19</f>
        <v>ZN</v>
      </c>
      <c r="B19" s="24"/>
      <c r="C19" s="61"/>
      <c r="D19" s="72"/>
      <c r="E19" s="12"/>
      <c r="F19" s="12"/>
      <c r="G19" s="27"/>
      <c r="H19" s="42"/>
      <c r="I19" s="26"/>
      <c r="J19" s="14"/>
      <c r="K19" s="12"/>
      <c r="L19" s="12"/>
      <c r="M19" s="12"/>
      <c r="N19" s="37"/>
      <c r="O19" s="55">
        <f t="shared" si="7"/>
        <v>0</v>
      </c>
      <c r="P19" s="67">
        <f t="shared" si="8"/>
        <v>0</v>
      </c>
      <c r="Q19" s="68">
        <f t="shared" si="9"/>
        <v>0</v>
      </c>
    </row>
    <row r="20" spans="1:17" ht="33.75" customHeight="1">
      <c r="A20" s="84" t="str">
        <f>'DIA 29'!A20</f>
        <v>CBP-001 (BAJO PERFIL)</v>
      </c>
      <c r="B20" s="24"/>
      <c r="C20" s="61"/>
      <c r="D20" s="72"/>
      <c r="E20" s="12"/>
      <c r="F20" s="12"/>
      <c r="G20" s="27"/>
      <c r="H20" s="42"/>
      <c r="I20" s="26"/>
      <c r="J20" s="14"/>
      <c r="K20" s="12"/>
      <c r="L20" s="12"/>
      <c r="M20" s="12"/>
      <c r="N20" s="37"/>
      <c r="O20" s="55">
        <f t="shared" si="7"/>
        <v>0</v>
      </c>
      <c r="P20" s="67">
        <f t="shared" si="8"/>
        <v>0</v>
      </c>
      <c r="Q20" s="68">
        <f t="shared" si="9"/>
        <v>0</v>
      </c>
    </row>
    <row r="21" spans="1:17" ht="33.75" customHeight="1">
      <c r="A21" s="84" t="str">
        <f>'DIA 29'!A21</f>
        <v>MG-105</v>
      </c>
      <c r="B21" s="24"/>
      <c r="C21" s="61"/>
      <c r="D21" s="72"/>
      <c r="E21" s="12"/>
      <c r="F21" s="12"/>
      <c r="G21" s="27"/>
      <c r="H21" s="42"/>
      <c r="I21" s="26"/>
      <c r="J21" s="14"/>
      <c r="K21" s="12"/>
      <c r="L21" s="12"/>
      <c r="M21" s="12"/>
      <c r="N21" s="37"/>
      <c r="O21" s="55">
        <f t="shared" si="7"/>
        <v>0</v>
      </c>
      <c r="P21" s="67">
        <f t="shared" si="8"/>
        <v>0</v>
      </c>
      <c r="Q21" s="68">
        <f t="shared" si="9"/>
        <v>0</v>
      </c>
    </row>
    <row r="22" spans="1:17" ht="33.75" customHeight="1">
      <c r="A22" s="84" t="str">
        <f>'DIA 29'!A22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7"/>
        <v>0</v>
      </c>
      <c r="P22" s="67">
        <f t="shared" si="8"/>
        <v>0</v>
      </c>
      <c r="Q22" s="68">
        <f t="shared" si="9"/>
        <v>0</v>
      </c>
    </row>
    <row r="23" spans="1:17" ht="33.75" customHeight="1">
      <c r="A23" s="84" t="str">
        <f>'DIA 29'!A23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7"/>
        <v>0</v>
      </c>
      <c r="P23" s="67">
        <f t="shared" si="8"/>
        <v>0</v>
      </c>
      <c r="Q23" s="68">
        <f t="shared" si="9"/>
        <v>0</v>
      </c>
    </row>
    <row r="24" spans="1:17" ht="33.75" customHeight="1">
      <c r="A24" s="84" t="str">
        <f>'DIA 29'!A24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7"/>
        <v>0</v>
      </c>
      <c r="P24" s="67">
        <f t="shared" si="8"/>
        <v>0</v>
      </c>
      <c r="Q24" s="68">
        <f t="shared" si="9"/>
        <v>0</v>
      </c>
    </row>
    <row r="25" spans="1:17" ht="33.75" customHeight="1">
      <c r="A25" s="84" t="str">
        <f>'DIA 29'!A25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7"/>
        <v>0</v>
      </c>
      <c r="P25" s="67">
        <f t="shared" si="8"/>
        <v>0</v>
      </c>
      <c r="Q25" s="68">
        <f t="shared" si="9"/>
        <v>0</v>
      </c>
    </row>
    <row r="26" spans="1:17" ht="33.75" customHeight="1">
      <c r="A26" s="84" t="str">
        <f>'DIA 29'!A26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7"/>
        <v>0</v>
      </c>
      <c r="P26" s="67">
        <f t="shared" si="8"/>
        <v>0</v>
      </c>
      <c r="Q26" s="68">
        <f t="shared" si="9"/>
        <v>0</v>
      </c>
    </row>
    <row r="27" spans="1:17" ht="33.75" customHeight="1">
      <c r="A27" s="84" t="str">
        <f>'DIA 29'!A27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37"/>
      <c r="O27" s="55">
        <f t="shared" si="7"/>
        <v>0</v>
      </c>
      <c r="P27" s="67">
        <f t="shared" si="8"/>
        <v>0</v>
      </c>
      <c r="Q27" s="68">
        <f t="shared" si="9"/>
        <v>0</v>
      </c>
    </row>
    <row r="28" spans="1:17" ht="33.75" customHeight="1">
      <c r="A28" s="84" t="str">
        <f>'DIA 29'!A28</f>
        <v>MG-111</v>
      </c>
      <c r="B28" s="24"/>
      <c r="C28" s="60"/>
      <c r="D28" s="71"/>
      <c r="E28" s="17"/>
      <c r="F28" s="12"/>
      <c r="G28" s="25"/>
      <c r="H28" s="42"/>
      <c r="I28" s="26"/>
      <c r="J28" s="15"/>
      <c r="K28" s="13"/>
      <c r="L28" s="13"/>
      <c r="M28" s="13"/>
      <c r="N28" s="37"/>
      <c r="O28" s="55">
        <f t="shared" si="7"/>
        <v>0</v>
      </c>
      <c r="P28" s="67">
        <f t="shared" si="8"/>
        <v>0</v>
      </c>
      <c r="Q28" s="68">
        <f t="shared" si="9"/>
        <v>0</v>
      </c>
    </row>
    <row r="29" spans="1:17" ht="33.75" customHeight="1">
      <c r="A29" s="84" t="str">
        <f>'DIA 29'!A29</f>
        <v>MG-120</v>
      </c>
      <c r="B29" s="24"/>
      <c r="C29" s="60"/>
      <c r="D29" s="71"/>
      <c r="E29" s="17"/>
      <c r="F29" s="12"/>
      <c r="G29" s="25"/>
      <c r="H29" s="42"/>
      <c r="I29" s="26"/>
      <c r="J29" s="15"/>
      <c r="K29" s="13"/>
      <c r="L29" s="13"/>
      <c r="M29" s="13"/>
      <c r="N29" s="37"/>
      <c r="O29" s="55">
        <f t="shared" si="7"/>
        <v>0</v>
      </c>
      <c r="P29" s="67">
        <f t="shared" si="8"/>
        <v>0</v>
      </c>
      <c r="Q29" s="68">
        <f t="shared" si="9"/>
        <v>0</v>
      </c>
    </row>
    <row r="30" spans="1:17" ht="33.75" customHeight="1">
      <c r="A30" s="84" t="str">
        <f>'DIA 29'!A30</f>
        <v>PROSERMIN</v>
      </c>
      <c r="B30" s="24"/>
      <c r="C30" s="60"/>
      <c r="D30" s="71"/>
      <c r="E30" s="17"/>
      <c r="F30" s="12"/>
      <c r="G30" s="25"/>
      <c r="H30" s="42"/>
      <c r="I30" s="26"/>
      <c r="J30" s="15"/>
      <c r="K30" s="13"/>
      <c r="L30" s="13"/>
      <c r="M30" s="13"/>
      <c r="N30" s="37"/>
      <c r="O30" s="55">
        <f t="shared" si="7"/>
        <v>0</v>
      </c>
      <c r="P30" s="67">
        <f t="shared" si="8"/>
        <v>0</v>
      </c>
      <c r="Q30" s="68">
        <f t="shared" si="9"/>
        <v>0</v>
      </c>
    </row>
    <row r="31" spans="1:17" ht="33.75" customHeight="1">
      <c r="A31" s="84" t="str">
        <f>'DIA 29'!A31</f>
        <v>ST-060</v>
      </c>
      <c r="B31" s="24"/>
      <c r="C31" s="60"/>
      <c r="D31" s="71"/>
      <c r="E31" s="17"/>
      <c r="F31" s="12"/>
      <c r="G31" s="25"/>
      <c r="H31" s="42"/>
      <c r="I31" s="26"/>
      <c r="J31" s="15"/>
      <c r="K31" s="13"/>
      <c r="L31" s="13"/>
      <c r="M31" s="13"/>
      <c r="N31" s="37"/>
      <c r="O31" s="55">
        <f t="shared" si="6"/>
        <v>0</v>
      </c>
      <c r="P31" s="67">
        <f t="shared" ref="P31:P32" si="10">G31-B31</f>
        <v>0</v>
      </c>
      <c r="Q31" s="68">
        <f t="shared" ref="Q31:Q32" si="11">N31-I31</f>
        <v>0</v>
      </c>
    </row>
    <row r="32" spans="1:17" ht="33.75" customHeight="1">
      <c r="A32" s="84" t="str">
        <f>'DIA 29'!A32</f>
        <v>ST-53</v>
      </c>
      <c r="B32" s="24"/>
      <c r="C32" s="60"/>
      <c r="D32" s="71"/>
      <c r="E32" s="17"/>
      <c r="F32" s="12"/>
      <c r="G32" s="25"/>
      <c r="H32" s="42"/>
      <c r="I32" s="26"/>
      <c r="J32" s="15"/>
      <c r="K32" s="13"/>
      <c r="L32" s="13"/>
      <c r="M32" s="13"/>
      <c r="N32" s="37"/>
      <c r="O32" s="55">
        <f t="shared" si="6"/>
        <v>0</v>
      </c>
      <c r="P32" s="67">
        <f t="shared" si="10"/>
        <v>0</v>
      </c>
      <c r="Q32" s="68">
        <f t="shared" si="11"/>
        <v>0</v>
      </c>
    </row>
    <row r="33" spans="1:21" ht="33.75" customHeight="1">
      <c r="A33" s="84" t="str">
        <f>'DIA 29'!A33</f>
        <v>ST-039</v>
      </c>
      <c r="B33" s="24"/>
      <c r="C33" s="60"/>
      <c r="D33" s="71"/>
      <c r="E33" s="17"/>
      <c r="F33" s="12"/>
      <c r="G33" s="25"/>
      <c r="H33" s="43"/>
      <c r="I33" s="26"/>
      <c r="J33" s="18"/>
      <c r="K33" s="76"/>
      <c r="L33" s="76"/>
      <c r="M33" s="19"/>
      <c r="N33" s="41"/>
      <c r="O33" s="55">
        <f t="shared" si="6"/>
        <v>0</v>
      </c>
      <c r="P33" s="67">
        <f t="shared" si="1"/>
        <v>0</v>
      </c>
      <c r="Q33" s="68">
        <f t="shared" si="2"/>
        <v>0</v>
      </c>
    </row>
    <row r="34" spans="1:21" ht="33.75" customHeight="1" thickBot="1">
      <c r="A34" s="84" t="str">
        <f>'DIA 29'!A34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 t="shared" si="6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0</v>
      </c>
      <c r="D35" s="10"/>
      <c r="E35" s="11"/>
      <c r="F35" s="11"/>
      <c r="G35" s="11"/>
      <c r="H35" s="11"/>
      <c r="I35" s="11"/>
      <c r="J35" s="59">
        <f>SUM(J7:J34)</f>
        <v>0</v>
      </c>
      <c r="K35" s="50"/>
      <c r="L35" s="50"/>
      <c r="M35" s="49"/>
      <c r="N35" s="49"/>
      <c r="O35" s="85">
        <f>C35+J35</f>
        <v>0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Q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31" priority="1" operator="containsText" text="NO TRABAJO">
      <formula>NOT(ISERROR(SEARCH("NO TRABAJO",O7)))</formula>
    </cfRule>
    <cfRule type="containsText" dxfId="30" priority="2" operator="containsText" text="FUERA DE SERVICIO">
      <formula>NOT(ISERROR(SEARCH("FUERA DE SERVICIO",O7)))</formula>
    </cfRule>
    <cfRule type="containsText" dxfId="29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D1FA-9594-4D30-B972-CFFBCA33F202}">
  <sheetPr>
    <pageSetUpPr fitToPage="1"/>
  </sheetPr>
  <dimension ref="A1:U56"/>
  <sheetViews>
    <sheetView showGridLines="0" view="pageBreakPreview" zoomScale="50" zoomScaleNormal="100" zoomScaleSheetLayoutView="50" workbookViewId="0">
      <selection activeCell="O7" sqref="O7:Q14"/>
    </sheetView>
  </sheetViews>
  <sheetFormatPr baseColWidth="10" defaultRowHeight="14.4"/>
  <cols>
    <col min="1" max="1" width="34.109375" style="11" bestFit="1" customWidth="1"/>
    <col min="2" max="2" width="16.109375" customWidth="1"/>
    <col min="3" max="4" width="17.21875" bestFit="1" customWidth="1"/>
    <col min="5" max="5" width="21.33203125" customWidth="1"/>
    <col min="6" max="6" width="18.88671875" customWidth="1"/>
    <col min="7" max="7" width="16.5546875" customWidth="1"/>
    <col min="8" max="8" width="1.44140625" customWidth="1"/>
    <col min="9" max="9" width="16.33203125" customWidth="1"/>
    <col min="10" max="10" width="15.33203125" customWidth="1"/>
    <col min="11" max="11" width="16.33203125" bestFit="1" customWidth="1"/>
    <col min="12" max="12" width="19.21875" customWidth="1"/>
    <col min="13" max="13" width="19.44140625" customWidth="1"/>
    <col min="14" max="14" width="18" customWidth="1"/>
    <col min="15" max="15" width="20.109375" bestFit="1" customWidth="1"/>
    <col min="16" max="16" width="22.6640625" customWidth="1"/>
    <col min="17" max="17" width="17.88671875" customWidth="1"/>
  </cols>
  <sheetData>
    <row r="1" spans="1:17" ht="42.6" customHeight="1" thickBot="1">
      <c r="A1" s="157"/>
      <c r="B1" s="179" t="s">
        <v>21</v>
      </c>
      <c r="C1" s="180"/>
      <c r="D1" s="180"/>
      <c r="E1" s="181" t="s">
        <v>37</v>
      </c>
      <c r="F1" s="181"/>
      <c r="G1" s="181"/>
      <c r="H1" s="181"/>
      <c r="I1" s="181"/>
      <c r="J1" s="181"/>
      <c r="K1" s="181"/>
      <c r="L1" s="181"/>
      <c r="M1" s="181"/>
      <c r="N1" s="182"/>
      <c r="O1" s="45" t="s">
        <v>27</v>
      </c>
      <c r="P1" s="48" t="s">
        <v>25</v>
      </c>
      <c r="Q1" s="48" t="s">
        <v>26</v>
      </c>
    </row>
    <row r="2" spans="1:17" ht="19.2" customHeight="1" thickBot="1">
      <c r="A2" s="176"/>
      <c r="B2" s="46" t="s">
        <v>3</v>
      </c>
      <c r="C2" s="46" t="s">
        <v>4</v>
      </c>
      <c r="D2" s="47" t="s">
        <v>5</v>
      </c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77"/>
      <c r="P2" s="187">
        <f>'DIA 30'!Q2+O2</f>
        <v>16671</v>
      </c>
      <c r="Q2" s="160">
        <f>P2-O35</f>
        <v>16671</v>
      </c>
    </row>
    <row r="3" spans="1:17" ht="18.600000000000001" thickBot="1">
      <c r="A3" s="157"/>
      <c r="B3" s="81"/>
      <c r="C3" s="82"/>
      <c r="D3" s="86"/>
      <c r="E3" s="183"/>
      <c r="F3" s="183"/>
      <c r="G3" s="183"/>
      <c r="H3" s="185"/>
      <c r="I3" s="185"/>
      <c r="J3" s="185"/>
      <c r="K3" s="185"/>
      <c r="L3" s="185"/>
      <c r="M3" s="185"/>
      <c r="N3" s="186"/>
      <c r="O3" s="178"/>
      <c r="P3" s="188"/>
      <c r="Q3" s="161"/>
    </row>
    <row r="4" spans="1:17">
      <c r="A4" s="162" t="s">
        <v>45</v>
      </c>
      <c r="B4" s="164" t="s">
        <v>1</v>
      </c>
      <c r="C4" s="165"/>
      <c r="D4" s="165"/>
      <c r="E4" s="165"/>
      <c r="F4" s="165"/>
      <c r="G4" s="166"/>
      <c r="H4" s="175"/>
      <c r="I4" s="164" t="s">
        <v>2</v>
      </c>
      <c r="J4" s="165"/>
      <c r="K4" s="165"/>
      <c r="L4" s="165"/>
      <c r="M4" s="165"/>
      <c r="N4" s="166"/>
      <c r="O4" s="164"/>
      <c r="P4" s="165"/>
      <c r="Q4" s="166"/>
    </row>
    <row r="5" spans="1:17" ht="12.75" customHeight="1" thickBot="1">
      <c r="A5" s="163"/>
      <c r="B5" s="167"/>
      <c r="C5" s="168"/>
      <c r="D5" s="168"/>
      <c r="E5" s="168"/>
      <c r="F5" s="168"/>
      <c r="G5" s="169"/>
      <c r="H5" s="175"/>
      <c r="I5" s="172"/>
      <c r="J5" s="173"/>
      <c r="K5" s="173"/>
      <c r="L5" s="173"/>
      <c r="M5" s="173"/>
      <c r="N5" s="174"/>
      <c r="O5" s="192"/>
      <c r="P5" s="193"/>
      <c r="Q5" s="194"/>
    </row>
    <row r="6" spans="1:17" ht="42">
      <c r="A6" s="189"/>
      <c r="B6" s="22" t="s">
        <v>28</v>
      </c>
      <c r="C6" s="21" t="s">
        <v>38</v>
      </c>
      <c r="D6" s="20" t="s">
        <v>40</v>
      </c>
      <c r="E6" s="20" t="s">
        <v>41</v>
      </c>
      <c r="F6" s="20" t="s">
        <v>42</v>
      </c>
      <c r="G6" s="23" t="s">
        <v>22</v>
      </c>
      <c r="H6" s="175"/>
      <c r="I6" s="51" t="s">
        <v>23</v>
      </c>
      <c r="J6" s="52" t="str">
        <f>C6</f>
        <v>DIESEL</v>
      </c>
      <c r="K6" s="52" t="str">
        <f t="shared" ref="K6:L6" si="0">D6</f>
        <v>Nombre Operador</v>
      </c>
      <c r="L6" s="52" t="str">
        <f t="shared" si="0"/>
        <v>Nombre Despachador</v>
      </c>
      <c r="M6" s="52" t="str">
        <f>F6</f>
        <v xml:space="preserve">Nombre del supervisor </v>
      </c>
      <c r="N6" s="53" t="s">
        <v>33</v>
      </c>
      <c r="O6" s="54" t="str">
        <f>'DIA 30'!O6</f>
        <v>CONSUMO X DIA</v>
      </c>
      <c r="P6" s="51" t="s">
        <v>31</v>
      </c>
      <c r="Q6" s="53" t="s">
        <v>32</v>
      </c>
    </row>
    <row r="7" spans="1:17" ht="33.75" customHeight="1">
      <c r="A7" s="84" t="str">
        <f>'DIA 30'!A7</f>
        <v>ST-031 (EPIROC 1030)</v>
      </c>
      <c r="B7" s="24"/>
      <c r="C7" s="60"/>
      <c r="D7" s="71"/>
      <c r="E7" s="12"/>
      <c r="F7" s="12"/>
      <c r="G7" s="25"/>
      <c r="H7" s="42"/>
      <c r="I7" s="26"/>
      <c r="J7" s="16"/>
      <c r="K7" s="12"/>
      <c r="L7" s="12"/>
      <c r="M7" s="12"/>
      <c r="N7" s="37"/>
      <c r="O7" s="55">
        <f>J7+C7</f>
        <v>0</v>
      </c>
      <c r="P7" s="67">
        <f t="shared" ref="P7:P34" si="1">G7-B7</f>
        <v>0</v>
      </c>
      <c r="Q7" s="68">
        <f t="shared" ref="Q7:Q34" si="2">N7-I7</f>
        <v>0</v>
      </c>
    </row>
    <row r="8" spans="1:17" ht="33.75" customHeight="1">
      <c r="A8" s="84" t="str">
        <f>'DIA 30'!A8</f>
        <v>ST-025 (1600)</v>
      </c>
      <c r="B8" s="24"/>
      <c r="C8" s="61"/>
      <c r="D8" s="72"/>
      <c r="E8" s="12"/>
      <c r="F8" s="12"/>
      <c r="G8" s="27"/>
      <c r="H8" s="42"/>
      <c r="I8" s="26"/>
      <c r="J8" s="14"/>
      <c r="K8" s="12"/>
      <c r="L8" s="12"/>
      <c r="M8" s="12"/>
      <c r="N8" s="37"/>
      <c r="O8" s="55">
        <f t="shared" ref="O8:O14" si="3">J8+C8</f>
        <v>0</v>
      </c>
      <c r="P8" s="67">
        <f t="shared" ref="P8:P14" si="4">G8-B8</f>
        <v>0</v>
      </c>
      <c r="Q8" s="68">
        <f t="shared" ref="Q8:Q14" si="5">N8-I8</f>
        <v>0</v>
      </c>
    </row>
    <row r="9" spans="1:17" ht="33.75" customHeight="1">
      <c r="A9" s="84" t="str">
        <f>'DIA 30'!A9</f>
        <v>ST-036 R1300</v>
      </c>
      <c r="B9" s="24"/>
      <c r="C9" s="61"/>
      <c r="D9" s="72"/>
      <c r="E9" s="12"/>
      <c r="F9" s="12"/>
      <c r="G9" s="27"/>
      <c r="H9" s="42"/>
      <c r="I9" s="26"/>
      <c r="J9" s="14"/>
      <c r="K9" s="12"/>
      <c r="L9" s="12"/>
      <c r="M9" s="12"/>
      <c r="N9" s="37"/>
      <c r="O9" s="55">
        <f t="shared" si="3"/>
        <v>0</v>
      </c>
      <c r="P9" s="67">
        <f t="shared" si="4"/>
        <v>0</v>
      </c>
      <c r="Q9" s="68">
        <f t="shared" si="5"/>
        <v>0</v>
      </c>
    </row>
    <row r="10" spans="1:17" ht="33.75" customHeight="1">
      <c r="A10" s="84" t="str">
        <f>'DIA 30'!A10</f>
        <v>ST-018</v>
      </c>
      <c r="B10" s="24"/>
      <c r="C10" s="61"/>
      <c r="D10" s="72"/>
      <c r="E10" s="12"/>
      <c r="F10" s="12"/>
      <c r="G10" s="27"/>
      <c r="H10" s="42"/>
      <c r="I10" s="26"/>
      <c r="J10" s="14"/>
      <c r="K10" s="12"/>
      <c r="L10" s="12"/>
      <c r="M10" s="12"/>
      <c r="N10" s="37"/>
      <c r="O10" s="55">
        <f t="shared" si="3"/>
        <v>0</v>
      </c>
      <c r="P10" s="67">
        <f t="shared" si="4"/>
        <v>0</v>
      </c>
      <c r="Q10" s="68">
        <f t="shared" si="5"/>
        <v>0</v>
      </c>
    </row>
    <row r="11" spans="1:17" ht="33.75" customHeight="1">
      <c r="A11" s="84" t="str">
        <f>'DIA 30'!A11</f>
        <v>ST-034 KOMATSU</v>
      </c>
      <c r="B11" s="24"/>
      <c r="C11" s="61"/>
      <c r="D11" s="72"/>
      <c r="E11" s="12"/>
      <c r="F11" s="12"/>
      <c r="G11" s="27"/>
      <c r="H11" s="42"/>
      <c r="I11" s="26"/>
      <c r="J11" s="14"/>
      <c r="K11" s="12"/>
      <c r="L11" s="12"/>
      <c r="M11" s="12"/>
      <c r="N11" s="37"/>
      <c r="O11" s="55">
        <f t="shared" si="3"/>
        <v>0</v>
      </c>
      <c r="P11" s="67">
        <f t="shared" si="4"/>
        <v>0</v>
      </c>
      <c r="Q11" s="68">
        <f t="shared" si="5"/>
        <v>0</v>
      </c>
    </row>
    <row r="12" spans="1:17" ht="33.75" customHeight="1">
      <c r="A12" s="84" t="str">
        <f>'DIA 30'!A12</f>
        <v>JL-015 (DD311)</v>
      </c>
      <c r="B12" s="24"/>
      <c r="C12" s="61"/>
      <c r="D12" s="72"/>
      <c r="E12" s="12"/>
      <c r="F12" s="12"/>
      <c r="G12" s="27"/>
      <c r="H12" s="42"/>
      <c r="I12" s="26"/>
      <c r="J12" s="14"/>
      <c r="K12" s="12"/>
      <c r="L12" s="12"/>
      <c r="M12" s="12"/>
      <c r="N12" s="37"/>
      <c r="O12" s="55">
        <f t="shared" si="3"/>
        <v>0</v>
      </c>
      <c r="P12" s="67">
        <f t="shared" si="4"/>
        <v>0</v>
      </c>
      <c r="Q12" s="68">
        <f t="shared" si="5"/>
        <v>0</v>
      </c>
    </row>
    <row r="13" spans="1:17" ht="33.75" customHeight="1">
      <c r="A13" s="84" t="str">
        <f>'DIA 30'!A13</f>
        <v>JL-019</v>
      </c>
      <c r="B13" s="24"/>
      <c r="C13" s="61"/>
      <c r="D13" s="72"/>
      <c r="E13" s="12"/>
      <c r="F13" s="12"/>
      <c r="G13" s="27"/>
      <c r="H13" s="42"/>
      <c r="I13" s="26"/>
      <c r="J13" s="14"/>
      <c r="K13" s="12"/>
      <c r="L13" s="12"/>
      <c r="M13" s="12"/>
      <c r="N13" s="37"/>
      <c r="O13" s="55">
        <f t="shared" si="3"/>
        <v>0</v>
      </c>
      <c r="P13" s="67">
        <f t="shared" si="4"/>
        <v>0</v>
      </c>
      <c r="Q13" s="68">
        <f t="shared" si="5"/>
        <v>0</v>
      </c>
    </row>
    <row r="14" spans="1:17" ht="33.75" customHeight="1">
      <c r="A14" s="84" t="str">
        <f>'DIA 30'!A14</f>
        <v>JL-024 CANNON</v>
      </c>
      <c r="B14" s="24"/>
      <c r="C14" s="61"/>
      <c r="D14" s="72"/>
      <c r="E14" s="12"/>
      <c r="F14" s="12"/>
      <c r="G14" s="27"/>
      <c r="H14" s="42"/>
      <c r="I14" s="26"/>
      <c r="J14" s="14"/>
      <c r="K14" s="12"/>
      <c r="L14" s="12"/>
      <c r="M14" s="12"/>
      <c r="N14" s="37"/>
      <c r="O14" s="55">
        <f t="shared" si="3"/>
        <v>0</v>
      </c>
      <c r="P14" s="67">
        <f t="shared" si="4"/>
        <v>0</v>
      </c>
      <c r="Q14" s="68">
        <f t="shared" si="5"/>
        <v>0</v>
      </c>
    </row>
    <row r="15" spans="1:17" ht="33.75" customHeight="1">
      <c r="A15" s="84" t="str">
        <f>'DIA 30'!A15</f>
        <v>JA-007 RESEMIN</v>
      </c>
      <c r="B15" s="24"/>
      <c r="C15" s="61"/>
      <c r="D15" s="72"/>
      <c r="E15" s="12"/>
      <c r="F15" s="12"/>
      <c r="G15" s="27"/>
      <c r="H15" s="42"/>
      <c r="I15" s="26"/>
      <c r="J15" s="14"/>
      <c r="K15" s="12"/>
      <c r="L15" s="12"/>
      <c r="M15" s="12"/>
      <c r="N15" s="37"/>
      <c r="O15" s="55">
        <f t="shared" ref="O15:O34" si="6">J15+C15</f>
        <v>0</v>
      </c>
      <c r="P15" s="67">
        <f t="shared" si="1"/>
        <v>0</v>
      </c>
      <c r="Q15" s="68">
        <f t="shared" si="2"/>
        <v>0</v>
      </c>
    </row>
    <row r="16" spans="1:17" ht="33.75" customHeight="1">
      <c r="A16" s="84" t="str">
        <f>'DIA 30'!A16</f>
        <v>JA-004 CANNON</v>
      </c>
      <c r="B16" s="24"/>
      <c r="C16" s="61"/>
      <c r="D16" s="72"/>
      <c r="E16" s="12"/>
      <c r="F16" s="12"/>
      <c r="G16" s="27"/>
      <c r="H16" s="42"/>
      <c r="I16" s="26"/>
      <c r="J16" s="14"/>
      <c r="K16" s="12"/>
      <c r="L16" s="12"/>
      <c r="M16" s="12"/>
      <c r="N16" s="37"/>
      <c r="O16" s="55">
        <f t="shared" si="6"/>
        <v>0</v>
      </c>
      <c r="P16" s="67">
        <f t="shared" si="1"/>
        <v>0</v>
      </c>
      <c r="Q16" s="68">
        <f t="shared" si="2"/>
        <v>0</v>
      </c>
    </row>
    <row r="17" spans="1:17" ht="33.75" customHeight="1">
      <c r="A17" s="84" t="str">
        <f>'DIA 30'!A17</f>
        <v>RE-009 (RETROEXCAVADORA)</v>
      </c>
      <c r="B17" s="24"/>
      <c r="C17" s="61"/>
      <c r="D17" s="72"/>
      <c r="E17" s="12"/>
      <c r="F17" s="12"/>
      <c r="G17" s="25"/>
      <c r="H17" s="42"/>
      <c r="I17" s="26"/>
      <c r="J17" s="14"/>
      <c r="K17" s="12"/>
      <c r="L17" s="12"/>
      <c r="M17" s="12"/>
      <c r="N17" s="37"/>
      <c r="O17" s="55">
        <f t="shared" si="6"/>
        <v>0</v>
      </c>
      <c r="P17" s="67">
        <f t="shared" si="1"/>
        <v>0</v>
      </c>
      <c r="Q17" s="68">
        <f t="shared" si="2"/>
        <v>0</v>
      </c>
    </row>
    <row r="18" spans="1:17" ht="33.75" customHeight="1">
      <c r="A18" s="84" t="str">
        <f>'DIA 30'!A18</f>
        <v>RE-010 (RETROEXCAVADORA)</v>
      </c>
      <c r="B18" s="24"/>
      <c r="C18" s="61"/>
      <c r="D18" s="72"/>
      <c r="E18" s="12"/>
      <c r="F18" s="12"/>
      <c r="G18" s="25"/>
      <c r="H18" s="42"/>
      <c r="I18" s="26"/>
      <c r="J18" s="14"/>
      <c r="K18" s="12"/>
      <c r="L18" s="12"/>
      <c r="M18" s="12"/>
      <c r="N18" s="37"/>
      <c r="O18" s="55">
        <f t="shared" ref="O18:O31" si="7">J18+C18</f>
        <v>0</v>
      </c>
      <c r="P18" s="67">
        <f t="shared" ref="P18:P31" si="8">G18-B18</f>
        <v>0</v>
      </c>
      <c r="Q18" s="68">
        <f t="shared" ref="Q18:Q31" si="9">N18-I18</f>
        <v>0</v>
      </c>
    </row>
    <row r="19" spans="1:17" ht="33.75" customHeight="1">
      <c r="A19" s="84" t="str">
        <f>'DIA 30'!A19</f>
        <v>ZN</v>
      </c>
      <c r="B19" s="24"/>
      <c r="C19" s="61"/>
      <c r="D19" s="72"/>
      <c r="E19" s="12"/>
      <c r="F19" s="12"/>
      <c r="G19" s="25"/>
      <c r="H19" s="42"/>
      <c r="I19" s="26"/>
      <c r="J19" s="14"/>
      <c r="K19" s="12"/>
      <c r="L19" s="12"/>
      <c r="M19" s="12"/>
      <c r="N19" s="37"/>
      <c r="O19" s="55">
        <f t="shared" si="7"/>
        <v>0</v>
      </c>
      <c r="P19" s="67">
        <f t="shared" si="8"/>
        <v>0</v>
      </c>
      <c r="Q19" s="68">
        <f t="shared" si="9"/>
        <v>0</v>
      </c>
    </row>
    <row r="20" spans="1:17" ht="33.75" customHeight="1">
      <c r="A20" s="84" t="str">
        <f>'DIA 30'!A20</f>
        <v>CBP-001 (BAJO PERFIL)</v>
      </c>
      <c r="B20" s="24"/>
      <c r="C20" s="61"/>
      <c r="D20" s="72"/>
      <c r="E20" s="12"/>
      <c r="F20" s="12"/>
      <c r="G20" s="25"/>
      <c r="H20" s="42"/>
      <c r="I20" s="26"/>
      <c r="J20" s="14"/>
      <c r="K20" s="12"/>
      <c r="L20" s="12"/>
      <c r="M20" s="12"/>
      <c r="N20" s="37"/>
      <c r="O20" s="55">
        <f t="shared" si="7"/>
        <v>0</v>
      </c>
      <c r="P20" s="67">
        <f t="shared" si="8"/>
        <v>0</v>
      </c>
      <c r="Q20" s="68">
        <f t="shared" si="9"/>
        <v>0</v>
      </c>
    </row>
    <row r="21" spans="1:17" ht="33.75" customHeight="1">
      <c r="A21" s="84" t="str">
        <f>'DIA 30'!A21</f>
        <v>MG-105</v>
      </c>
      <c r="B21" s="24"/>
      <c r="C21" s="61"/>
      <c r="D21" s="72"/>
      <c r="E21" s="12"/>
      <c r="F21" s="12"/>
      <c r="G21" s="25"/>
      <c r="H21" s="42"/>
      <c r="I21" s="26"/>
      <c r="J21" s="14"/>
      <c r="K21" s="12"/>
      <c r="L21" s="12"/>
      <c r="M21" s="12"/>
      <c r="N21" s="37"/>
      <c r="O21" s="55">
        <f t="shared" si="7"/>
        <v>0</v>
      </c>
      <c r="P21" s="67">
        <f t="shared" si="8"/>
        <v>0</v>
      </c>
      <c r="Q21" s="68">
        <f t="shared" si="9"/>
        <v>0</v>
      </c>
    </row>
    <row r="22" spans="1:17" ht="33.75" customHeight="1">
      <c r="A22" s="84" t="str">
        <f>'DIA 30'!A22</f>
        <v>MG-044</v>
      </c>
      <c r="B22" s="24"/>
      <c r="C22" s="61"/>
      <c r="D22" s="72"/>
      <c r="E22" s="12"/>
      <c r="F22" s="12"/>
      <c r="G22" s="25"/>
      <c r="H22" s="42"/>
      <c r="I22" s="26"/>
      <c r="J22" s="14"/>
      <c r="K22" s="12"/>
      <c r="L22" s="12"/>
      <c r="M22" s="12"/>
      <c r="N22" s="37"/>
      <c r="O22" s="55">
        <f t="shared" si="7"/>
        <v>0</v>
      </c>
      <c r="P22" s="67">
        <f t="shared" si="8"/>
        <v>0</v>
      </c>
      <c r="Q22" s="68">
        <f t="shared" si="9"/>
        <v>0</v>
      </c>
    </row>
    <row r="23" spans="1:17" ht="33.75" customHeight="1">
      <c r="A23" s="84" t="str">
        <f>'DIA 30'!A23</f>
        <v>MG-085 (POLVORERA)</v>
      </c>
      <c r="B23" s="24"/>
      <c r="C23" s="60"/>
      <c r="D23" s="71"/>
      <c r="E23" s="12"/>
      <c r="F23" s="12"/>
      <c r="G23" s="25"/>
      <c r="H23" s="42"/>
      <c r="I23" s="26"/>
      <c r="J23" s="16"/>
      <c r="K23" s="12"/>
      <c r="L23" s="12"/>
      <c r="M23" s="12"/>
      <c r="N23" s="37"/>
      <c r="O23" s="55">
        <f t="shared" si="7"/>
        <v>0</v>
      </c>
      <c r="P23" s="67">
        <f t="shared" si="8"/>
        <v>0</v>
      </c>
      <c r="Q23" s="68">
        <f t="shared" si="9"/>
        <v>0</v>
      </c>
    </row>
    <row r="24" spans="1:17" ht="33.75" customHeight="1">
      <c r="A24" s="84" t="str">
        <f>'DIA 30'!A24</f>
        <v>MG-033 (PERSONAL)</v>
      </c>
      <c r="B24" s="24"/>
      <c r="C24" s="60"/>
      <c r="D24" s="71"/>
      <c r="E24" s="12"/>
      <c r="F24" s="12"/>
      <c r="G24" s="25"/>
      <c r="H24" s="42"/>
      <c r="I24" s="26"/>
      <c r="J24" s="16"/>
      <c r="K24" s="12"/>
      <c r="L24" s="12"/>
      <c r="M24" s="12"/>
      <c r="N24" s="37"/>
      <c r="O24" s="55">
        <f t="shared" si="7"/>
        <v>0</v>
      </c>
      <c r="P24" s="67">
        <f t="shared" si="8"/>
        <v>0</v>
      </c>
      <c r="Q24" s="68">
        <f t="shared" si="9"/>
        <v>0</v>
      </c>
    </row>
    <row r="25" spans="1:17" ht="33.75" customHeight="1">
      <c r="A25" s="84" t="str">
        <f>'DIA 30'!A25</f>
        <v>MG-113</v>
      </c>
      <c r="B25" s="24"/>
      <c r="C25" s="60"/>
      <c r="D25" s="71"/>
      <c r="E25" s="12"/>
      <c r="F25" s="12"/>
      <c r="G25" s="25"/>
      <c r="H25" s="42"/>
      <c r="I25" s="26"/>
      <c r="J25" s="16"/>
      <c r="K25" s="12"/>
      <c r="L25" s="12"/>
      <c r="M25" s="12"/>
      <c r="N25" s="37"/>
      <c r="O25" s="55">
        <f t="shared" si="7"/>
        <v>0</v>
      </c>
      <c r="P25" s="67">
        <f t="shared" si="8"/>
        <v>0</v>
      </c>
      <c r="Q25" s="68">
        <f t="shared" si="9"/>
        <v>0</v>
      </c>
    </row>
    <row r="26" spans="1:17" ht="33.75" customHeight="1">
      <c r="A26" s="84" t="str">
        <f>'DIA 30'!A26</f>
        <v>MG-121</v>
      </c>
      <c r="B26" s="24"/>
      <c r="C26" s="61"/>
      <c r="D26" s="72"/>
      <c r="E26" s="12"/>
      <c r="F26" s="12"/>
      <c r="G26" s="27"/>
      <c r="H26" s="42"/>
      <c r="I26" s="26"/>
      <c r="J26" s="16"/>
      <c r="K26" s="17"/>
      <c r="L26" s="17"/>
      <c r="M26" s="17"/>
      <c r="N26" s="37"/>
      <c r="O26" s="55">
        <f t="shared" si="7"/>
        <v>0</v>
      </c>
      <c r="P26" s="67">
        <f t="shared" si="8"/>
        <v>0</v>
      </c>
      <c r="Q26" s="68">
        <f t="shared" si="9"/>
        <v>0</v>
      </c>
    </row>
    <row r="27" spans="1:17" ht="33.75" customHeight="1">
      <c r="A27" s="84" t="str">
        <f>'DIA 30'!A27</f>
        <v>MG-086</v>
      </c>
      <c r="B27" s="24"/>
      <c r="C27" s="60"/>
      <c r="D27" s="71"/>
      <c r="E27" s="17"/>
      <c r="F27" s="12"/>
      <c r="G27" s="25"/>
      <c r="H27" s="42"/>
      <c r="I27" s="26"/>
      <c r="J27" s="16"/>
      <c r="K27" s="13"/>
      <c r="L27" s="13"/>
      <c r="M27" s="13"/>
      <c r="N27" s="37"/>
      <c r="O27" s="55">
        <f t="shared" si="7"/>
        <v>0</v>
      </c>
      <c r="P27" s="67">
        <f t="shared" si="8"/>
        <v>0</v>
      </c>
      <c r="Q27" s="68">
        <f t="shared" si="9"/>
        <v>0</v>
      </c>
    </row>
    <row r="28" spans="1:17" ht="33.75" customHeight="1">
      <c r="A28" s="84" t="str">
        <f>'DIA 30'!A28</f>
        <v>MG-111</v>
      </c>
      <c r="B28" s="24"/>
      <c r="C28" s="62"/>
      <c r="D28" s="57"/>
      <c r="E28" s="13"/>
      <c r="F28" s="12"/>
      <c r="G28" s="28"/>
      <c r="H28" s="42"/>
      <c r="I28" s="26"/>
      <c r="J28" s="15"/>
      <c r="K28" s="13"/>
      <c r="L28" s="13"/>
      <c r="M28" s="13"/>
      <c r="N28" s="37"/>
      <c r="O28" s="55">
        <f t="shared" si="7"/>
        <v>0</v>
      </c>
      <c r="P28" s="67">
        <f t="shared" si="8"/>
        <v>0</v>
      </c>
      <c r="Q28" s="68">
        <f t="shared" si="9"/>
        <v>0</v>
      </c>
    </row>
    <row r="29" spans="1:17" ht="33.75" customHeight="1">
      <c r="A29" s="84" t="str">
        <f>'DIA 30'!A29</f>
        <v>MG-120</v>
      </c>
      <c r="B29" s="24"/>
      <c r="C29" s="62"/>
      <c r="D29" s="57"/>
      <c r="E29" s="13"/>
      <c r="F29" s="12"/>
      <c r="G29" s="28"/>
      <c r="H29" s="42"/>
      <c r="I29" s="26"/>
      <c r="J29" s="15"/>
      <c r="K29" s="13"/>
      <c r="L29" s="13"/>
      <c r="M29" s="13"/>
      <c r="N29" s="37"/>
      <c r="O29" s="55">
        <f t="shared" si="7"/>
        <v>0</v>
      </c>
      <c r="P29" s="67">
        <f t="shared" si="8"/>
        <v>0</v>
      </c>
      <c r="Q29" s="68">
        <f t="shared" si="9"/>
        <v>0</v>
      </c>
    </row>
    <row r="30" spans="1:17" ht="33.75" customHeight="1">
      <c r="A30" s="84" t="str">
        <f>'DIA 30'!A30</f>
        <v>PROSERMIN</v>
      </c>
      <c r="B30" s="24"/>
      <c r="C30" s="62"/>
      <c r="D30" s="57"/>
      <c r="E30" s="13"/>
      <c r="F30" s="12"/>
      <c r="G30" s="28"/>
      <c r="H30" s="42"/>
      <c r="I30" s="26"/>
      <c r="J30" s="15"/>
      <c r="K30" s="13"/>
      <c r="L30" s="13"/>
      <c r="M30" s="13"/>
      <c r="N30" s="37"/>
      <c r="O30" s="55">
        <f t="shared" si="7"/>
        <v>0</v>
      </c>
      <c r="P30" s="67">
        <f t="shared" si="8"/>
        <v>0</v>
      </c>
      <c r="Q30" s="68">
        <f t="shared" si="9"/>
        <v>0</v>
      </c>
    </row>
    <row r="31" spans="1:17" ht="33.75" customHeight="1">
      <c r="A31" s="84" t="str">
        <f>'DIA 30'!A31</f>
        <v>ST-060</v>
      </c>
      <c r="B31" s="24"/>
      <c r="C31" s="62"/>
      <c r="D31" s="57"/>
      <c r="E31" s="13"/>
      <c r="F31" s="12"/>
      <c r="G31" s="28"/>
      <c r="H31" s="42"/>
      <c r="I31" s="26"/>
      <c r="J31" s="15"/>
      <c r="K31" s="13"/>
      <c r="L31" s="13"/>
      <c r="M31" s="13"/>
      <c r="N31" s="37"/>
      <c r="O31" s="55">
        <f t="shared" si="7"/>
        <v>0</v>
      </c>
      <c r="P31" s="67">
        <f t="shared" si="8"/>
        <v>0</v>
      </c>
      <c r="Q31" s="68">
        <f t="shared" si="9"/>
        <v>0</v>
      </c>
    </row>
    <row r="32" spans="1:17" ht="33.75" customHeight="1">
      <c r="A32" s="84" t="str">
        <f>'DIA 30'!A32</f>
        <v>ST-53</v>
      </c>
      <c r="B32" s="24"/>
      <c r="C32" s="62"/>
      <c r="D32" s="57"/>
      <c r="E32" s="13"/>
      <c r="F32" s="12"/>
      <c r="G32" s="28"/>
      <c r="H32" s="42"/>
      <c r="I32" s="26"/>
      <c r="J32" s="15"/>
      <c r="K32" s="13"/>
      <c r="L32" s="13"/>
      <c r="M32" s="13"/>
      <c r="N32" s="37"/>
      <c r="O32" s="55">
        <f t="shared" si="6"/>
        <v>0</v>
      </c>
      <c r="P32" s="67">
        <f t="shared" ref="P32:P33" si="10">G32-B32</f>
        <v>0</v>
      </c>
      <c r="Q32" s="68">
        <f t="shared" ref="Q32:Q33" si="11">N32-I32</f>
        <v>0</v>
      </c>
    </row>
    <row r="33" spans="1:21" ht="33.75" customHeight="1">
      <c r="A33" s="84" t="str">
        <f>'DIA 30'!A33</f>
        <v>ST-039</v>
      </c>
      <c r="B33" s="24"/>
      <c r="C33" s="62"/>
      <c r="D33" s="57"/>
      <c r="E33" s="13"/>
      <c r="F33" s="12"/>
      <c r="G33" s="28"/>
      <c r="H33" s="43"/>
      <c r="I33" s="26"/>
      <c r="J33" s="15"/>
      <c r="K33" s="13"/>
      <c r="L33" s="13"/>
      <c r="M33" s="13"/>
      <c r="N33" s="41"/>
      <c r="O33" s="55">
        <f t="shared" si="6"/>
        <v>0</v>
      </c>
      <c r="P33" s="67">
        <f t="shared" si="10"/>
        <v>0</v>
      </c>
      <c r="Q33" s="68">
        <f t="shared" si="11"/>
        <v>0</v>
      </c>
    </row>
    <row r="34" spans="1:21" ht="33.75" customHeight="1" thickBot="1">
      <c r="A34" s="84" t="str">
        <f>'DIA 30'!A34</f>
        <v>JL-025</v>
      </c>
      <c r="B34" s="32"/>
      <c r="C34" s="65"/>
      <c r="D34" s="75"/>
      <c r="E34" s="34"/>
      <c r="F34" s="35"/>
      <c r="G34" s="36"/>
      <c r="H34" s="44"/>
      <c r="I34" s="39"/>
      <c r="J34" s="33"/>
      <c r="K34" s="34"/>
      <c r="L34" s="34"/>
      <c r="M34" s="34"/>
      <c r="N34" s="40"/>
      <c r="O34" s="55">
        <f t="shared" si="6"/>
        <v>0</v>
      </c>
      <c r="P34" s="69">
        <f t="shared" si="1"/>
        <v>0</v>
      </c>
      <c r="Q34" s="70">
        <f t="shared" si="2"/>
        <v>0</v>
      </c>
    </row>
    <row r="35" spans="1:21" ht="39" customHeight="1" thickBot="1">
      <c r="A35" s="83" t="s">
        <v>0</v>
      </c>
      <c r="B35" s="11"/>
      <c r="C35" s="58">
        <f>SUM(C7:C34)</f>
        <v>0</v>
      </c>
      <c r="D35" s="10"/>
      <c r="E35" s="11"/>
      <c r="F35" s="11"/>
      <c r="G35" s="11"/>
      <c r="H35" s="11"/>
      <c r="I35" s="11"/>
      <c r="J35" s="59">
        <f>SUM(J7:J34)</f>
        <v>0</v>
      </c>
      <c r="K35" s="50"/>
      <c r="L35" s="50"/>
      <c r="M35" s="49"/>
      <c r="N35" s="49"/>
      <c r="O35" s="85">
        <f>C35+J35</f>
        <v>0</v>
      </c>
      <c r="P35" s="66"/>
      <c r="Q35" s="42"/>
    </row>
    <row r="36" spans="1:21" ht="15.6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50"/>
      <c r="N36" s="50"/>
      <c r="O36" s="42"/>
    </row>
    <row r="37" spans="1:21">
      <c r="A37"/>
    </row>
    <row r="38" spans="1:21">
      <c r="A38" s="153"/>
      <c r="B38" s="153"/>
      <c r="C38" s="153"/>
      <c r="D38" s="153"/>
      <c r="E38" s="11"/>
      <c r="F38" s="11"/>
      <c r="G38" s="157"/>
      <c r="H38" s="157"/>
      <c r="I38" s="157"/>
      <c r="J38" s="157"/>
      <c r="K38" s="157"/>
      <c r="L38" s="157"/>
      <c r="M38" s="157"/>
      <c r="N38" s="11"/>
      <c r="O38" s="157"/>
      <c r="P38" s="157"/>
      <c r="Q38" s="157"/>
    </row>
    <row r="39" spans="1:21">
      <c r="A39" s="153"/>
      <c r="B39" s="153"/>
      <c r="C39" s="153"/>
      <c r="D39" s="153"/>
      <c r="E39" s="11"/>
      <c r="F39" s="11"/>
      <c r="G39" s="157"/>
      <c r="H39" s="157"/>
      <c r="I39" s="157"/>
      <c r="J39" s="157"/>
      <c r="K39" s="157"/>
      <c r="L39" s="157"/>
      <c r="M39" s="157"/>
      <c r="N39" s="11"/>
      <c r="O39" s="157"/>
      <c r="P39" s="157"/>
      <c r="Q39" s="157"/>
    </row>
    <row r="40" spans="1:21">
      <c r="A40" s="153"/>
      <c r="B40" s="153"/>
      <c r="C40" s="153"/>
      <c r="D40" s="153"/>
      <c r="G40" s="157"/>
      <c r="H40" s="157"/>
      <c r="I40" s="157"/>
      <c r="J40" s="157"/>
      <c r="K40" s="157"/>
      <c r="L40" s="157"/>
      <c r="M40" s="157"/>
      <c r="O40" s="157"/>
      <c r="P40" s="157"/>
      <c r="Q40" s="157"/>
    </row>
    <row r="41" spans="1:21">
      <c r="A41" s="153"/>
      <c r="B41" s="153"/>
      <c r="C41" s="153"/>
      <c r="D41" s="153"/>
      <c r="G41" s="157"/>
      <c r="H41" s="157"/>
      <c r="I41" s="157"/>
      <c r="J41" s="157"/>
      <c r="K41" s="157"/>
      <c r="L41" s="157"/>
      <c r="M41" s="157"/>
      <c r="O41" s="157"/>
      <c r="P41" s="157"/>
      <c r="Q41" s="157"/>
    </row>
    <row r="42" spans="1:21">
      <c r="A42" s="152"/>
      <c r="B42" s="152"/>
      <c r="C42" s="152"/>
      <c r="D42" s="152"/>
      <c r="G42" s="152"/>
      <c r="H42" s="152"/>
      <c r="I42" s="152"/>
      <c r="J42" s="152"/>
      <c r="K42" s="152"/>
      <c r="L42" s="152"/>
      <c r="M42" s="152"/>
      <c r="N42" s="11"/>
      <c r="O42" s="152"/>
      <c r="P42" s="152"/>
      <c r="Q42" s="152"/>
    </row>
    <row r="43" spans="1:21">
      <c r="A43" s="151" t="s">
        <v>24</v>
      </c>
      <c r="B43" s="151"/>
      <c r="C43" s="151"/>
      <c r="D43" s="151"/>
      <c r="G43" s="151" t="s">
        <v>29</v>
      </c>
      <c r="H43" s="151"/>
      <c r="I43" s="151"/>
      <c r="J43" s="151"/>
      <c r="K43" s="151"/>
      <c r="L43" s="151"/>
      <c r="M43" s="151"/>
      <c r="O43" s="151" t="s">
        <v>30</v>
      </c>
      <c r="P43" s="151"/>
      <c r="Q43" s="151"/>
    </row>
    <row r="44" spans="1:21" hidden="1">
      <c r="P44" s="158"/>
      <c r="Q44" s="159"/>
      <c r="R44" s="158"/>
      <c r="S44" s="159"/>
      <c r="T44" s="158"/>
      <c r="U44" s="159"/>
    </row>
    <row r="45" spans="1:21" hidden="1">
      <c r="P45" s="154">
        <v>44237</v>
      </c>
      <c r="Q45" s="155"/>
      <c r="R45" s="156">
        <v>44244</v>
      </c>
      <c r="S45" s="155"/>
      <c r="T45" s="156">
        <v>44251</v>
      </c>
      <c r="U45" s="155"/>
    </row>
    <row r="46" spans="1:21" hidden="1">
      <c r="O46" s="1" t="s">
        <v>6</v>
      </c>
      <c r="P46" s="2" t="s">
        <v>7</v>
      </c>
      <c r="Q46" s="2" t="s">
        <v>8</v>
      </c>
      <c r="R46" s="2" t="s">
        <v>7</v>
      </c>
      <c r="S46" s="2" t="s">
        <v>8</v>
      </c>
      <c r="T46" s="2" t="s">
        <v>7</v>
      </c>
      <c r="U46" s="2" t="s">
        <v>8</v>
      </c>
    </row>
    <row r="47" spans="1:21" hidden="1">
      <c r="O47" s="3" t="s">
        <v>9</v>
      </c>
      <c r="P47" s="5">
        <v>3</v>
      </c>
      <c r="Q47" s="5"/>
      <c r="R47" s="6">
        <v>2</v>
      </c>
      <c r="S47" s="6">
        <v>140</v>
      </c>
      <c r="T47" s="4">
        <v>0</v>
      </c>
      <c r="U47" s="4">
        <v>155</v>
      </c>
    </row>
    <row r="48" spans="1:21" hidden="1">
      <c r="O48" s="3" t="s">
        <v>10</v>
      </c>
      <c r="P48" s="5">
        <v>3</v>
      </c>
      <c r="Q48" s="5">
        <v>70</v>
      </c>
      <c r="R48" s="6">
        <v>2</v>
      </c>
      <c r="S48" s="6">
        <v>182</v>
      </c>
      <c r="T48" s="4">
        <v>2</v>
      </c>
      <c r="U48" s="4">
        <v>170</v>
      </c>
    </row>
    <row r="49" spans="15:21" hidden="1">
      <c r="O49" s="3" t="s">
        <v>11</v>
      </c>
      <c r="P49" s="5">
        <v>1</v>
      </c>
      <c r="Q49" s="5">
        <v>137</v>
      </c>
      <c r="R49" s="6">
        <v>1</v>
      </c>
      <c r="S49" s="6">
        <v>137</v>
      </c>
      <c r="T49" s="4">
        <v>1</v>
      </c>
      <c r="U49" s="4">
        <v>160</v>
      </c>
    </row>
    <row r="50" spans="15:21" hidden="1">
      <c r="O50" s="3" t="s">
        <v>12</v>
      </c>
      <c r="P50" s="5">
        <v>2</v>
      </c>
      <c r="Q50" s="5">
        <v>117</v>
      </c>
      <c r="R50" s="6">
        <v>2</v>
      </c>
      <c r="S50" s="6">
        <v>27</v>
      </c>
      <c r="T50" s="4">
        <v>1</v>
      </c>
      <c r="U50" s="4">
        <v>150</v>
      </c>
    </row>
    <row r="51" spans="15:21" hidden="1">
      <c r="O51" s="3" t="s">
        <v>13</v>
      </c>
      <c r="P51" s="5">
        <v>1</v>
      </c>
      <c r="Q51" s="5">
        <v>17</v>
      </c>
      <c r="R51" s="6">
        <v>1</v>
      </c>
      <c r="S51" s="6">
        <v>0</v>
      </c>
      <c r="T51" s="4">
        <v>0</v>
      </c>
      <c r="U51" s="4">
        <v>0</v>
      </c>
    </row>
    <row r="52" spans="15:21" hidden="1">
      <c r="O52" s="3" t="s">
        <v>14</v>
      </c>
      <c r="P52" s="5">
        <v>1</v>
      </c>
      <c r="Q52" s="5">
        <v>36</v>
      </c>
      <c r="R52" s="6">
        <v>1</v>
      </c>
      <c r="S52" s="6">
        <v>0</v>
      </c>
      <c r="T52" s="4">
        <v>1</v>
      </c>
      <c r="U52" s="4">
        <v>77</v>
      </c>
    </row>
    <row r="53" spans="15:21" hidden="1">
      <c r="O53" s="3" t="s">
        <v>15</v>
      </c>
      <c r="P53" s="5"/>
      <c r="Q53" s="5">
        <v>76</v>
      </c>
      <c r="R53" s="6"/>
      <c r="S53" s="6">
        <v>76</v>
      </c>
      <c r="T53" s="4">
        <v>1</v>
      </c>
      <c r="U53" s="4">
        <v>22.5</v>
      </c>
    </row>
    <row r="54" spans="15:21" hidden="1">
      <c r="O54" s="3" t="s">
        <v>16</v>
      </c>
      <c r="P54" s="5">
        <v>1</v>
      </c>
      <c r="Q54" s="5">
        <v>22</v>
      </c>
      <c r="R54" s="6">
        <v>1</v>
      </c>
      <c r="S54" s="6">
        <v>0</v>
      </c>
      <c r="T54" s="4">
        <v>0</v>
      </c>
      <c r="U54" s="4">
        <v>165.5</v>
      </c>
    </row>
    <row r="55" spans="15:21" hidden="1">
      <c r="O55" s="3" t="s">
        <v>17</v>
      </c>
      <c r="P55" s="5">
        <v>1</v>
      </c>
      <c r="Q55" s="5" t="s">
        <v>18</v>
      </c>
      <c r="R55" s="6">
        <v>0.5</v>
      </c>
      <c r="S55" s="6" t="s">
        <v>19</v>
      </c>
      <c r="T55" s="4">
        <v>80</v>
      </c>
      <c r="U55" s="4" t="s">
        <v>20</v>
      </c>
    </row>
    <row r="56" spans="15:21" hidden="1">
      <c r="O56" s="7"/>
      <c r="P56" s="7"/>
      <c r="Q56" s="7"/>
      <c r="R56" s="7"/>
      <c r="S56" s="7"/>
      <c r="T56" s="7"/>
      <c r="U56" s="7"/>
    </row>
  </sheetData>
  <mergeCells count="26">
    <mergeCell ref="A38:D41"/>
    <mergeCell ref="G38:M41"/>
    <mergeCell ref="O38:Q41"/>
    <mergeCell ref="A1:A3"/>
    <mergeCell ref="B1:D1"/>
    <mergeCell ref="E1:N3"/>
    <mergeCell ref="O2:O3"/>
    <mergeCell ref="P2:P3"/>
    <mergeCell ref="Q2:Q3"/>
    <mergeCell ref="A4:A6"/>
    <mergeCell ref="B4:G5"/>
    <mergeCell ref="H4:H6"/>
    <mergeCell ref="I4:N5"/>
    <mergeCell ref="O4:Q5"/>
    <mergeCell ref="A42:D42"/>
    <mergeCell ref="G42:M42"/>
    <mergeCell ref="O42:Q42"/>
    <mergeCell ref="A43:D43"/>
    <mergeCell ref="G43:M43"/>
    <mergeCell ref="O43:Q43"/>
    <mergeCell ref="P44:Q44"/>
    <mergeCell ref="R44:S44"/>
    <mergeCell ref="T44:U44"/>
    <mergeCell ref="P45:Q45"/>
    <mergeCell ref="R45:S45"/>
    <mergeCell ref="T45:U45"/>
  </mergeCells>
  <conditionalFormatting sqref="O7:O34">
    <cfRule type="containsText" dxfId="28" priority="1" operator="containsText" text="NO TRABAJO">
      <formula>NOT(ISERROR(SEARCH("NO TRABAJO",O7)))</formula>
    </cfRule>
    <cfRule type="containsText" dxfId="27" priority="2" operator="containsText" text="FUERA DE SERVICIO">
      <formula>NOT(ISERROR(SEARCH("FUERA DE SERVICIO",O7)))</formula>
    </cfRule>
    <cfRule type="containsText" dxfId="26" priority="3" operator="containsText" text="EN SERVICIO">
      <formula>NOT(ISERROR(SEARCH("EN SERVICIO",O7)))</formula>
    </cfRule>
  </conditionalFormatting>
  <pageMargins left="0.25" right="0.25" top="0.75" bottom="0.75" header="0.3" footer="0.3"/>
  <pageSetup scale="41" fitToHeight="0" orientation="landscape" horizontalDpi="360" verticalDpi="36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6695-F5C0-451D-8F23-94DECBD642F0}">
  <dimension ref="B1:H34"/>
  <sheetViews>
    <sheetView showGridLines="0" topLeftCell="A10" workbookViewId="0">
      <selection activeCell="C30" sqref="C30"/>
    </sheetView>
  </sheetViews>
  <sheetFormatPr baseColWidth="10" defaultRowHeight="14.4"/>
  <cols>
    <col min="1" max="1" width="2.109375" customWidth="1"/>
    <col min="2" max="2" width="29.88671875" bestFit="1" customWidth="1"/>
    <col min="3" max="3" width="19.44140625" bestFit="1" customWidth="1"/>
    <col min="4" max="4" width="15.109375" customWidth="1"/>
    <col min="5" max="5" width="13.44140625" customWidth="1"/>
    <col min="6" max="6" width="15.33203125" customWidth="1"/>
    <col min="8" max="8" width="13.88671875" customWidth="1"/>
  </cols>
  <sheetData>
    <row r="1" spans="2:8" ht="15" thickBot="1"/>
    <row r="2" spans="2:8">
      <c r="B2" s="201" t="s">
        <v>37</v>
      </c>
      <c r="C2" s="202"/>
      <c r="D2" s="202"/>
      <c r="E2" s="202"/>
      <c r="F2" s="202"/>
      <c r="G2" s="202"/>
      <c r="H2" s="203"/>
    </row>
    <row r="3" spans="2:8" ht="13.8" customHeight="1">
      <c r="B3" s="204"/>
      <c r="C3" s="205"/>
      <c r="D3" s="205"/>
      <c r="E3" s="205"/>
      <c r="F3" s="205"/>
      <c r="G3" s="205"/>
      <c r="H3" s="206"/>
    </row>
    <row r="4" spans="2:8" ht="15" thickBot="1">
      <c r="B4" s="207"/>
      <c r="C4" s="208"/>
      <c r="D4" s="208"/>
      <c r="E4" s="208"/>
      <c r="F4" s="208"/>
      <c r="G4" s="208"/>
      <c r="H4" s="209"/>
    </row>
    <row r="5" spans="2:8" ht="27" thickBot="1">
      <c r="B5" s="118" t="s">
        <v>51</v>
      </c>
      <c r="C5" s="119" t="s">
        <v>52</v>
      </c>
      <c r="D5" s="120" t="s">
        <v>53</v>
      </c>
      <c r="E5" s="120" t="s">
        <v>54</v>
      </c>
      <c r="F5" s="121" t="s">
        <v>55</v>
      </c>
      <c r="G5" s="122" t="s">
        <v>56</v>
      </c>
      <c r="H5" s="122" t="s">
        <v>57</v>
      </c>
    </row>
    <row r="6" spans="2:8" ht="15" thickBot="1">
      <c r="B6" s="123" t="str">
        <f>'DIA 01'!A7</f>
        <v>ST-031 (EPIROC 1030)</v>
      </c>
      <c r="C6" s="124" t="s">
        <v>58</v>
      </c>
      <c r="D6" s="125"/>
      <c r="E6" s="126"/>
      <c r="F6" s="126">
        <f>E6-D6</f>
        <v>0</v>
      </c>
      <c r="G6" s="127">
        <f>'DIA 01'!O7+'DIA 02'!O7+'DIA 03'!O7+'DIA 04'!O7+'DIA 05'!O7+'DIA 06'!O7+'DIA 07'!O7+'DIA 08'!O7+'DIA 09'!O7+'DIA 10'!O7+'DIA 11'!O7+'DIA 12'!O7+'DIA 13'!O7+'DIA 14'!O7+'DIA 15'!O7+'DIA 16'!O7+'DIA 17'!O7+'DIA 18'!O7+'DIA 19'!O7+'DIA 20'!O7+'DIA 21'!O7+'DIA 22'!O7+'DIA 23'!O7+'DIA 24'!O7+'DIA 25'!O7+'DIA 26'!O7+'DIA 27'!O7+'DIA 28'!O7+'DIA 29'!O7+'DIA 30'!O7+'DIA 31'!O7</f>
        <v>496</v>
      </c>
      <c r="H6" s="128" t="e">
        <f>G6/F6</f>
        <v>#DIV/0!</v>
      </c>
    </row>
    <row r="7" spans="2:8" ht="15" thickBot="1">
      <c r="B7" s="123" t="str">
        <f>'DIA 01'!A8</f>
        <v>ST-025 (1600)</v>
      </c>
      <c r="C7" s="124" t="s">
        <v>58</v>
      </c>
      <c r="D7" s="125"/>
      <c r="E7" s="126"/>
      <c r="F7" s="126">
        <f t="shared" ref="F7:F32" si="0">E7-D7</f>
        <v>0</v>
      </c>
      <c r="G7" s="127">
        <f>'DIA 01'!O8+'DIA 02'!O8+'DIA 03'!O8+'DIA 04'!O8+'DIA 05'!O8+'DIA 06'!O8+'DIA 07'!O8+'DIA 08'!O8+'DIA 09'!O8+'DIA 10'!O8+'DIA 11'!O8+'DIA 12'!O8+'DIA 13'!O8+'DIA 14'!O8+'DIA 15'!O8+'DIA 16'!O8+'DIA 17'!O8+'DIA 18'!O8+'DIA 19'!O8+'DIA 20'!O8+'DIA 21'!O8+'DIA 22'!O8+'DIA 23'!O8+'DIA 24'!O8+'DIA 25'!O8+'DIA 26'!O8+'DIA 27'!O8+'DIA 28'!O8+'DIA 29'!O8+'DIA 30'!O8+'DIA 31'!O8</f>
        <v>544</v>
      </c>
      <c r="H7" s="128" t="e">
        <f t="shared" ref="H7:H32" si="1">G7/F7</f>
        <v>#DIV/0!</v>
      </c>
    </row>
    <row r="8" spans="2:8" ht="15" thickBot="1">
      <c r="B8" s="123" t="str">
        <f>'DIA 01'!A9</f>
        <v>ST-036 R1300</v>
      </c>
      <c r="C8" s="129" t="s">
        <v>58</v>
      </c>
      <c r="D8" s="125"/>
      <c r="E8" s="126"/>
      <c r="F8" s="126">
        <f t="shared" si="0"/>
        <v>0</v>
      </c>
      <c r="G8" s="127">
        <f>'DIA 01'!O9+'DIA 02'!O9+'DIA 03'!O9+'DIA 04'!O9+'DIA 05'!O9+'DIA 06'!O9+'DIA 07'!O9+'DIA 08'!O9+'DIA 09'!O9+'DIA 10'!O9+'DIA 11'!O9+'DIA 12'!O9+'DIA 13'!O9+'DIA 14'!O9+'DIA 15'!O9+'DIA 16'!O9+'DIA 17'!O9+'DIA 18'!O9+'DIA 19'!O9+'DIA 20'!O9+'DIA 21'!O9+'DIA 22'!O9+'DIA 23'!O9+'DIA 24'!O9+'DIA 25'!O9+'DIA 26'!O9+'DIA 27'!O9+'DIA 28'!O9+'DIA 29'!O9+'DIA 30'!O9+'DIA 31'!O9</f>
        <v>5764</v>
      </c>
      <c r="H8" s="128" t="e">
        <f t="shared" si="1"/>
        <v>#DIV/0!</v>
      </c>
    </row>
    <row r="9" spans="2:8" ht="15" thickBot="1">
      <c r="B9" s="123" t="str">
        <f>'DIA 01'!A10</f>
        <v>ST-018</v>
      </c>
      <c r="C9" s="129" t="s">
        <v>58</v>
      </c>
      <c r="D9" s="125"/>
      <c r="E9" s="126"/>
      <c r="F9" s="126">
        <f t="shared" si="0"/>
        <v>0</v>
      </c>
      <c r="G9" s="127">
        <f>'DIA 01'!O10+'DIA 02'!O10+'DIA 03'!O10+'DIA 04'!O10+'DIA 05'!O10+'DIA 06'!O10+'DIA 07'!O10+'DIA 08'!O10+'DIA 09'!O10+'DIA 10'!O10+'DIA 11'!O10+'DIA 12'!O10+'DIA 13'!O10+'DIA 14'!O10+'DIA 15'!O10+'DIA 16'!O10+'DIA 17'!O10+'DIA 18'!O10+'DIA 19'!O10+'DIA 20'!O10+'DIA 21'!O10+'DIA 22'!O10+'DIA 23'!O10+'DIA 24'!O10+'DIA 25'!O10+'DIA 26'!O10+'DIA 27'!O10+'DIA 28'!O10+'DIA 29'!O10+'DIA 30'!O10+'DIA 31'!O10</f>
        <v>2076</v>
      </c>
      <c r="H9" s="128" t="e">
        <f t="shared" si="1"/>
        <v>#DIV/0!</v>
      </c>
    </row>
    <row r="10" spans="2:8" ht="15" thickBot="1">
      <c r="B10" s="123" t="str">
        <f>'DIA 01'!A11</f>
        <v>ST-034 KOMATSU</v>
      </c>
      <c r="C10" s="130" t="s">
        <v>58</v>
      </c>
      <c r="D10" s="131"/>
      <c r="E10" s="126"/>
      <c r="F10" s="126">
        <f t="shared" si="0"/>
        <v>0</v>
      </c>
      <c r="G10" s="127">
        <f>'DIA 01'!O11+'DIA 02'!O11+'DIA 03'!O11+'DIA 04'!O11+'DIA 05'!O11+'DIA 06'!O11+'DIA 07'!O11+'DIA 08'!O11+'DIA 09'!O11+'DIA 10'!O11+'DIA 11'!O11+'DIA 12'!O11+'DIA 13'!O11+'DIA 14'!O11+'DIA 15'!O11+'DIA 16'!O11+'DIA 17'!O11+'DIA 18'!O11+'DIA 19'!O11+'DIA 20'!O11+'DIA 21'!O11+'DIA 22'!O11+'DIA 23'!O11+'DIA 24'!O11+'DIA 25'!O11+'DIA 26'!O11+'DIA 27'!O11+'DIA 28'!O11+'DIA 29'!O11+'DIA 30'!O11+'DIA 31'!O11</f>
        <v>0</v>
      </c>
      <c r="H10" s="128" t="e">
        <f t="shared" si="1"/>
        <v>#DIV/0!</v>
      </c>
    </row>
    <row r="11" spans="2:8" ht="15" thickBot="1">
      <c r="B11" s="123" t="str">
        <f>'DIA 01'!A12</f>
        <v>JL-015 (DD311)</v>
      </c>
      <c r="C11" s="130" t="s">
        <v>58</v>
      </c>
      <c r="D11" s="131"/>
      <c r="E11" s="126"/>
      <c r="F11" s="126">
        <f t="shared" si="0"/>
        <v>0</v>
      </c>
      <c r="G11" s="127">
        <f>'DIA 01'!O12+'DIA 02'!O12+'DIA 03'!O12+'DIA 04'!O12+'DIA 05'!O12+'DIA 06'!O12+'DIA 07'!O12+'DIA 08'!O12+'DIA 09'!O12+'DIA 10'!O12+'DIA 11'!O12+'DIA 12'!O12+'DIA 13'!O12+'DIA 14'!O12+'DIA 15'!O12+'DIA 16'!O12+'DIA 17'!O12+'DIA 18'!O12+'DIA 19'!O12+'DIA 20'!O12+'DIA 21'!O12+'DIA 22'!O12+'DIA 23'!O12+'DIA 24'!O12+'DIA 25'!O12+'DIA 26'!O12+'DIA 27'!O12+'DIA 28'!O12+'DIA 29'!O12+'DIA 30'!O12+'DIA 31'!O12</f>
        <v>316</v>
      </c>
      <c r="H11" s="128" t="e">
        <f t="shared" si="1"/>
        <v>#DIV/0!</v>
      </c>
    </row>
    <row r="12" spans="2:8" ht="15" thickBot="1">
      <c r="B12" s="123" t="str">
        <f>'DIA 01'!A13</f>
        <v>JL-019</v>
      </c>
      <c r="C12" s="130" t="s">
        <v>58</v>
      </c>
      <c r="D12" s="131"/>
      <c r="E12" s="126"/>
      <c r="F12" s="126">
        <f t="shared" si="0"/>
        <v>0</v>
      </c>
      <c r="G12" s="127">
        <f>'DIA 01'!O13+'DIA 02'!O13+'DIA 03'!O13+'DIA 04'!O13+'DIA 05'!O13+'DIA 06'!O13+'DIA 07'!O13+'DIA 08'!O13+'DIA 09'!O13+'DIA 10'!O13+'DIA 11'!O13+'DIA 12'!O13+'DIA 13'!O13+'DIA 14'!O13+'DIA 15'!O13+'DIA 16'!O13+'DIA 17'!O13+'DIA 18'!O13+'DIA 19'!O13+'DIA 20'!O13+'DIA 21'!O13+'DIA 22'!O13+'DIA 23'!O13+'DIA 24'!O13+'DIA 25'!O13+'DIA 26'!O13+'DIA 27'!O13+'DIA 28'!O13+'DIA 29'!O13+'DIA 30'!O13+'DIA 31'!O13</f>
        <v>0</v>
      </c>
      <c r="H12" s="128" t="e">
        <f t="shared" si="1"/>
        <v>#DIV/0!</v>
      </c>
    </row>
    <row r="13" spans="2:8" ht="15" thickBot="1">
      <c r="B13" s="123" t="str">
        <f>'DIA 01'!A14</f>
        <v>JL-024 CANNON</v>
      </c>
      <c r="C13" s="130" t="s">
        <v>58</v>
      </c>
      <c r="D13" s="131"/>
      <c r="E13" s="126"/>
      <c r="F13" s="126">
        <f t="shared" si="0"/>
        <v>0</v>
      </c>
      <c r="G13" s="127">
        <f>'DIA 01'!O14+'DIA 02'!O14+'DIA 03'!O14+'DIA 04'!O14+'DIA 05'!O14+'DIA 06'!O14+'DIA 07'!O14+'DIA 08'!O14+'DIA 09'!O14+'DIA 10'!O14+'DIA 11'!O14+'DIA 12'!O14+'DIA 13'!O14+'DIA 14'!O14+'DIA 15'!O14+'DIA 16'!O14+'DIA 17'!O14+'DIA 18'!O14+'DIA 19'!O14+'DIA 20'!O14+'DIA 21'!O14+'DIA 22'!O14+'DIA 23'!O14+'DIA 24'!O14+'DIA 25'!O14+'DIA 26'!O14+'DIA 27'!O14+'DIA 28'!O14+'DIA 29'!O14+'DIA 30'!O14+'DIA 31'!O14</f>
        <v>0</v>
      </c>
      <c r="H13" s="128" t="e">
        <f t="shared" si="1"/>
        <v>#DIV/0!</v>
      </c>
    </row>
    <row r="14" spans="2:8" ht="15" thickBot="1">
      <c r="B14" s="123" t="str">
        <f>'DIA 01'!A15</f>
        <v>JA-007 RESEMIN</v>
      </c>
      <c r="C14" s="130" t="s">
        <v>58</v>
      </c>
      <c r="D14" s="131"/>
      <c r="E14" s="126"/>
      <c r="F14" s="126">
        <f t="shared" si="0"/>
        <v>0</v>
      </c>
      <c r="G14" s="127">
        <f>'DIA 01'!O15+'DIA 02'!O15+'DIA 03'!O15+'DIA 04'!O15+'DIA 05'!O15+'DIA 06'!O15+'DIA 07'!O15+'DIA 08'!O15+'DIA 09'!O15+'DIA 10'!O15+'DIA 11'!O15+'DIA 12'!O15+'DIA 13'!O15+'DIA 14'!O15+'DIA 15'!O15+'DIA 16'!O15+'DIA 17'!O15+'DIA 18'!O15+'DIA 19'!O15+'DIA 20'!O15+'DIA 21'!O15+'DIA 22'!O15+'DIA 23'!O15+'DIA 24'!O15+'DIA 25'!O15+'DIA 26'!O15+'DIA 27'!O15+'DIA 28'!O15+'DIA 29'!O15+'DIA 30'!O15+'DIA 31'!O15</f>
        <v>267</v>
      </c>
      <c r="H14" s="128" t="e">
        <f t="shared" si="1"/>
        <v>#DIV/0!</v>
      </c>
    </row>
    <row r="15" spans="2:8" ht="15" thickBot="1">
      <c r="B15" s="123" t="str">
        <f>'DIA 01'!A16</f>
        <v>JA-004 CANNON</v>
      </c>
      <c r="C15" s="130" t="s">
        <v>58</v>
      </c>
      <c r="D15" s="131"/>
      <c r="E15" s="126"/>
      <c r="F15" s="126">
        <f t="shared" si="0"/>
        <v>0</v>
      </c>
      <c r="G15" s="127">
        <f>'DIA 01'!O16+'DIA 02'!O16+'DIA 03'!O16+'DIA 04'!O16+'DIA 05'!O16+'DIA 06'!O16+'DIA 07'!O16+'DIA 08'!O16+'DIA 09'!O16+'DIA 10'!O16+'DIA 11'!O16+'DIA 12'!O16+'DIA 13'!O16+'DIA 14'!O16+'DIA 15'!O16+'DIA 16'!O16+'DIA 17'!O16+'DIA 18'!O16+'DIA 19'!O16+'DIA 20'!O16+'DIA 21'!O16+'DIA 22'!O16+'DIA 23'!O16+'DIA 24'!O16+'DIA 25'!O16+'DIA 26'!O16+'DIA 27'!O16+'DIA 28'!O16+'DIA 29'!O16+'DIA 30'!O16+'DIA 31'!O16</f>
        <v>252</v>
      </c>
      <c r="H15" s="128" t="e">
        <f t="shared" si="1"/>
        <v>#DIV/0!</v>
      </c>
    </row>
    <row r="16" spans="2:8" ht="15" thickBot="1">
      <c r="B16" s="123" t="str">
        <f>'DIA 01'!A17</f>
        <v>RE-009 (RETROEXCAVADORA)</v>
      </c>
      <c r="C16" s="130" t="s">
        <v>58</v>
      </c>
      <c r="D16" s="131"/>
      <c r="E16" s="126"/>
      <c r="F16" s="126">
        <f t="shared" si="0"/>
        <v>0</v>
      </c>
      <c r="G16" s="127">
        <f>'DIA 01'!O17+'DIA 02'!O17+'DIA 03'!O17+'DIA 04'!O17+'DIA 05'!O17+'DIA 06'!O17+'DIA 07'!O17+'DIA 08'!O17+'DIA 09'!O17+'DIA 10'!O17+'DIA 11'!O17+'DIA 12'!O17+'DIA 13'!O17+'DIA 14'!O17+'DIA 15'!O17+'DIA 16'!O17+'DIA 17'!O17+'DIA 18'!O17+'DIA 19'!O17+'DIA 20'!O17+'DIA 21'!O17+'DIA 22'!O17+'DIA 23'!O17+'DIA 24'!O17+'DIA 25'!O17+'DIA 26'!O17+'DIA 27'!O17+'DIA 28'!O17+'DIA 29'!O17+'DIA 30'!O17+'DIA 31'!O17</f>
        <v>948</v>
      </c>
      <c r="H16" s="128" t="e">
        <f t="shared" si="1"/>
        <v>#DIV/0!</v>
      </c>
    </row>
    <row r="17" spans="2:8" ht="15" thickBot="1">
      <c r="B17" s="123" t="str">
        <f>'DIA 01'!A18</f>
        <v>RE-010 (RETROEXCAVADORA)</v>
      </c>
      <c r="C17" s="130" t="s">
        <v>58</v>
      </c>
      <c r="D17" s="131"/>
      <c r="E17" s="126"/>
      <c r="F17" s="126">
        <f t="shared" si="0"/>
        <v>0</v>
      </c>
      <c r="G17" s="127">
        <f>'DIA 01'!O18+'DIA 02'!O18+'DIA 03'!O18+'DIA 04'!O18+'DIA 05'!O18+'DIA 06'!O18+'DIA 07'!O18+'DIA 08'!O18+'DIA 09'!O18+'DIA 10'!O18+'DIA 11'!O18+'DIA 12'!O18+'DIA 13'!O18+'DIA 14'!O18+'DIA 15'!O18+'DIA 16'!O18+'DIA 17'!O18+'DIA 18'!O18+'DIA 19'!O18+'DIA 20'!O18+'DIA 21'!O18+'DIA 22'!O18+'DIA 23'!O18+'DIA 24'!O18+'DIA 25'!O18+'DIA 26'!O18+'DIA 27'!O18+'DIA 28'!O18+'DIA 29'!O18+'DIA 30'!O18+'DIA 31'!O18</f>
        <v>652</v>
      </c>
      <c r="H17" s="128" t="e">
        <f t="shared" si="1"/>
        <v>#DIV/0!</v>
      </c>
    </row>
    <row r="18" spans="2:8" ht="15" thickBot="1">
      <c r="B18" s="123" t="str">
        <f>'DIA 01'!A19</f>
        <v>ZN</v>
      </c>
      <c r="C18" s="130" t="s">
        <v>58</v>
      </c>
      <c r="D18" s="131"/>
      <c r="E18" s="126"/>
      <c r="F18" s="126">
        <f t="shared" si="0"/>
        <v>0</v>
      </c>
      <c r="G18" s="127">
        <f>'DIA 01'!O19+'DIA 02'!O19+'DIA 03'!O19+'DIA 04'!O19+'DIA 05'!O19+'DIA 06'!O19+'DIA 07'!O19+'DIA 08'!O19+'DIA 09'!O19+'DIA 10'!O19+'DIA 11'!O19+'DIA 12'!O19+'DIA 13'!O19+'DIA 14'!O19+'DIA 15'!O19+'DIA 16'!O19+'DIA 17'!O19+'DIA 18'!O19+'DIA 19'!O19+'DIA 20'!O19+'DIA 21'!O19+'DIA 22'!O19+'DIA 23'!O19+'DIA 24'!O19+'DIA 25'!O19+'DIA 26'!O19+'DIA 27'!O19+'DIA 28'!O19+'DIA 29'!O19+'DIA 30'!O19+'DIA 31'!O19</f>
        <v>4002</v>
      </c>
      <c r="H18" s="128" t="e">
        <f t="shared" si="1"/>
        <v>#DIV/0!</v>
      </c>
    </row>
    <row r="19" spans="2:8" ht="15" thickBot="1">
      <c r="B19" s="123" t="str">
        <f>'DIA 01'!A20</f>
        <v>CBP-001 (BAJO PERFIL)</v>
      </c>
      <c r="C19" s="130" t="s">
        <v>58</v>
      </c>
      <c r="D19" s="131"/>
      <c r="E19" s="126"/>
      <c r="F19" s="126">
        <f t="shared" si="0"/>
        <v>0</v>
      </c>
      <c r="G19" s="127">
        <f>'DIA 01'!O20+'DIA 02'!O20+'DIA 03'!O20+'DIA 04'!O20+'DIA 05'!O20+'DIA 06'!O20+'DIA 07'!O20+'DIA 08'!O20+'DIA 09'!O20+'DIA 10'!O20+'DIA 11'!O20+'DIA 12'!O20+'DIA 13'!O20+'DIA 14'!O20+'DIA 15'!O20+'DIA 16'!O20+'DIA 17'!O20+'DIA 18'!O20+'DIA 19'!O20+'DIA 20'!O20+'DIA 21'!O20+'DIA 22'!O20+'DIA 23'!O20+'DIA 24'!O20+'DIA 25'!O20+'DIA 26'!O20+'DIA 27'!O20+'DIA 28'!O20+'DIA 29'!O20+'DIA 30'!O20+'DIA 31'!O20</f>
        <v>394</v>
      </c>
      <c r="H19" s="128" t="e">
        <f t="shared" si="1"/>
        <v>#DIV/0!</v>
      </c>
    </row>
    <row r="20" spans="2:8" ht="15" thickBot="1">
      <c r="B20" s="123" t="str">
        <f>'DIA 01'!A21</f>
        <v>MG-105</v>
      </c>
      <c r="C20" s="130" t="s">
        <v>58</v>
      </c>
      <c r="D20" s="131"/>
      <c r="E20" s="126"/>
      <c r="F20" s="126">
        <f t="shared" si="0"/>
        <v>0</v>
      </c>
      <c r="G20" s="127">
        <f>'DIA 01'!O21+'DIA 02'!O21+'DIA 03'!O21+'DIA 04'!O21+'DIA 05'!O21+'DIA 06'!O21+'DIA 07'!O21+'DIA 08'!O21+'DIA 09'!O21+'DIA 10'!O21+'DIA 11'!O21+'DIA 12'!O21+'DIA 13'!O21+'DIA 14'!O21+'DIA 15'!O21+'DIA 16'!O21+'DIA 17'!O21+'DIA 18'!O21+'DIA 19'!O21+'DIA 20'!O21+'DIA 21'!O21+'DIA 22'!O21+'DIA 23'!O21+'DIA 24'!O21+'DIA 25'!O21+'DIA 26'!O21+'DIA 27'!O21+'DIA 28'!O21+'DIA 29'!O21+'DIA 30'!O21+'DIA 31'!O21</f>
        <v>913</v>
      </c>
      <c r="H20" s="128" t="e">
        <f t="shared" si="1"/>
        <v>#DIV/0!</v>
      </c>
    </row>
    <row r="21" spans="2:8" ht="15" thickBot="1">
      <c r="B21" s="123" t="str">
        <f>'DIA 01'!A22</f>
        <v>MG-044</v>
      </c>
      <c r="C21" s="132" t="s">
        <v>58</v>
      </c>
      <c r="D21" s="133"/>
      <c r="E21" s="126"/>
      <c r="F21" s="126">
        <f t="shared" si="0"/>
        <v>0</v>
      </c>
      <c r="G21" s="127">
        <f>'DIA 01'!O22+'DIA 02'!O22+'DIA 03'!O22+'DIA 04'!O22+'DIA 05'!O22+'DIA 06'!O22+'DIA 07'!O22+'DIA 08'!O22+'DIA 09'!O22+'DIA 10'!O22+'DIA 11'!O22+'DIA 12'!O22+'DIA 13'!O22+'DIA 14'!O22+'DIA 15'!O22+'DIA 16'!O22+'DIA 17'!O22+'DIA 18'!O22+'DIA 19'!O22+'DIA 20'!O22+'DIA 21'!O22+'DIA 22'!O22+'DIA 23'!O22+'DIA 24'!O22+'DIA 25'!O22+'DIA 26'!O22+'DIA 27'!O22+'DIA 28'!O22+'DIA 29'!O22+'DIA 30'!O22+'DIA 31'!O22</f>
        <v>838</v>
      </c>
      <c r="H21" s="128" t="e">
        <f t="shared" si="1"/>
        <v>#DIV/0!</v>
      </c>
    </row>
    <row r="22" spans="2:8" ht="15" thickBot="1">
      <c r="B22" s="123" t="str">
        <f>'DIA 01'!A23</f>
        <v>MG-085 (POLVORERA)</v>
      </c>
      <c r="C22" s="124" t="s">
        <v>58</v>
      </c>
      <c r="D22" s="134"/>
      <c r="E22" s="126"/>
      <c r="F22" s="126">
        <f t="shared" si="0"/>
        <v>0</v>
      </c>
      <c r="G22" s="127">
        <f>'DIA 01'!O23+'DIA 02'!O23+'DIA 03'!O23+'DIA 04'!O23+'DIA 05'!O23+'DIA 06'!O23+'DIA 07'!O23+'DIA 08'!O23+'DIA 09'!O23+'DIA 10'!O23+'DIA 11'!O23+'DIA 12'!O23+'DIA 13'!O23+'DIA 14'!O23+'DIA 15'!O23+'DIA 16'!O23+'DIA 17'!O23+'DIA 18'!O23+'DIA 19'!O23+'DIA 20'!O23+'DIA 21'!O23+'DIA 22'!O23+'DIA 23'!O23+'DIA 24'!O23+'DIA 25'!O23+'DIA 26'!O23+'DIA 27'!O23+'DIA 28'!O23+'DIA 29'!O23+'DIA 30'!O23+'DIA 31'!O23</f>
        <v>241</v>
      </c>
      <c r="H22" s="128" t="e">
        <f t="shared" si="1"/>
        <v>#DIV/0!</v>
      </c>
    </row>
    <row r="23" spans="2:8" ht="15" thickBot="1">
      <c r="B23" s="123" t="str">
        <f>'DIA 01'!A24</f>
        <v>MG-033 (PERSONAL)</v>
      </c>
      <c r="C23" s="124" t="s">
        <v>58</v>
      </c>
      <c r="D23" s="131"/>
      <c r="E23" s="126"/>
      <c r="F23" s="126">
        <f t="shared" si="0"/>
        <v>0</v>
      </c>
      <c r="G23" s="127">
        <f>'DIA 01'!O24+'DIA 02'!O24+'DIA 03'!O24+'DIA 04'!O24+'DIA 05'!O24+'DIA 06'!O24+'DIA 07'!O24+'DIA 08'!O24+'DIA 09'!O24+'DIA 10'!O24+'DIA 11'!O24+'DIA 12'!O24+'DIA 13'!O24+'DIA 14'!O24+'DIA 15'!O24+'DIA 16'!O24+'DIA 17'!O24+'DIA 18'!O24+'DIA 19'!O24+'DIA 20'!O24+'DIA 21'!O24+'DIA 22'!O24+'DIA 23'!O24+'DIA 24'!O24+'DIA 25'!O24+'DIA 26'!O24+'DIA 27'!O24+'DIA 28'!O24+'DIA 29'!O24+'DIA 30'!O24+'DIA 31'!O24</f>
        <v>253</v>
      </c>
      <c r="H23" s="128" t="e">
        <f t="shared" si="1"/>
        <v>#DIV/0!</v>
      </c>
    </row>
    <row r="24" spans="2:8" ht="15" thickBot="1">
      <c r="B24" s="123" t="str">
        <f>'DIA 01'!A25</f>
        <v>MG-113</v>
      </c>
      <c r="C24" s="129" t="s">
        <v>58</v>
      </c>
      <c r="D24" s="133"/>
      <c r="E24" s="126"/>
      <c r="F24" s="126">
        <f t="shared" si="0"/>
        <v>0</v>
      </c>
      <c r="G24" s="127">
        <f>'DIA 01'!O25+'DIA 02'!O25+'DIA 03'!O25+'DIA 04'!O25+'DIA 05'!O25+'DIA 06'!O25+'DIA 07'!O25+'DIA 08'!O25+'DIA 09'!O25+'DIA 10'!O25+'DIA 11'!O25+'DIA 12'!O25+'DIA 13'!O25+'DIA 14'!O25+'DIA 15'!O25+'DIA 16'!O25+'DIA 17'!O25+'DIA 18'!O25+'DIA 19'!O25+'DIA 20'!O25+'DIA 21'!O25+'DIA 22'!O25+'DIA 23'!O25+'DIA 24'!O25+'DIA 25'!O25+'DIA 26'!O25+'DIA 27'!O25+'DIA 28'!O25+'DIA 29'!O25+'DIA 30'!O25+'DIA 31'!O25</f>
        <v>142</v>
      </c>
      <c r="H24" s="128" t="e">
        <f t="shared" si="1"/>
        <v>#DIV/0!</v>
      </c>
    </row>
    <row r="25" spans="2:8" ht="15" thickBot="1">
      <c r="B25" s="123" t="str">
        <f>'DIA 01'!A26</f>
        <v>MG-121</v>
      </c>
      <c r="C25" s="135" t="s">
        <v>58</v>
      </c>
      <c r="D25" s="134"/>
      <c r="E25" s="126"/>
      <c r="F25" s="126">
        <f t="shared" si="0"/>
        <v>0</v>
      </c>
      <c r="G25" s="127">
        <f>'DIA 01'!O26+'DIA 02'!O26+'DIA 03'!O26+'DIA 04'!O26+'DIA 05'!O26+'DIA 06'!O26+'DIA 07'!O26+'DIA 08'!O26+'DIA 09'!O26+'DIA 10'!O26+'DIA 11'!O26+'DIA 12'!O26+'DIA 13'!O26+'DIA 14'!O26+'DIA 15'!O26+'DIA 16'!O26+'DIA 17'!O26+'DIA 18'!O26+'DIA 19'!O26+'DIA 20'!O26+'DIA 21'!O26+'DIA 22'!O26+'DIA 23'!O26+'DIA 24'!O26+'DIA 25'!O26+'DIA 26'!O26+'DIA 27'!O26+'DIA 28'!O26+'DIA 29'!O26+'DIA 30'!O26+'DIA 31'!O26</f>
        <v>272</v>
      </c>
      <c r="H25" s="128" t="e">
        <f t="shared" si="1"/>
        <v>#DIV/0!</v>
      </c>
    </row>
    <row r="26" spans="2:8" ht="15" thickBot="1">
      <c r="B26" s="123" t="str">
        <f>'DIA 01'!A27</f>
        <v>MG-086</v>
      </c>
      <c r="C26" s="130" t="s">
        <v>58</v>
      </c>
      <c r="D26" s="131"/>
      <c r="E26" s="126"/>
      <c r="F26" s="126">
        <f t="shared" si="0"/>
        <v>0</v>
      </c>
      <c r="G26" s="127">
        <f>'DIA 01'!O27+'DIA 02'!O27+'DIA 03'!O27+'DIA 04'!O27+'DIA 05'!O27+'DIA 06'!O27+'DIA 07'!O27+'DIA 08'!O27+'DIA 09'!O27+'DIA 10'!O27+'DIA 11'!O27+'DIA 12'!O27+'DIA 13'!O27+'DIA 14'!O27+'DIA 15'!O27+'DIA 16'!O27+'DIA 17'!O27+'DIA 18'!O27+'DIA 19'!O27+'DIA 20'!O27+'DIA 21'!O27+'DIA 22'!O27+'DIA 23'!O27+'DIA 24'!O27+'DIA 25'!O27+'DIA 26'!O27+'DIA 27'!O27+'DIA 28'!O27+'DIA 29'!O27+'DIA 30'!O27+'DIA 31'!O27</f>
        <v>180</v>
      </c>
      <c r="H26" s="128" t="e">
        <f t="shared" si="1"/>
        <v>#DIV/0!</v>
      </c>
    </row>
    <row r="27" spans="2:8" ht="15" thickBot="1">
      <c r="B27" s="123" t="str">
        <f>'DIA 01'!A28</f>
        <v>MG-111</v>
      </c>
      <c r="C27" s="130" t="s">
        <v>58</v>
      </c>
      <c r="D27" s="131"/>
      <c r="E27" s="126"/>
      <c r="F27" s="126">
        <f t="shared" si="0"/>
        <v>0</v>
      </c>
      <c r="G27" s="127">
        <f>'DIA 01'!O28+'DIA 02'!O28+'DIA 03'!O28+'DIA 04'!O28+'DIA 05'!O28+'DIA 06'!O28+'DIA 07'!O28+'DIA 08'!O28+'DIA 09'!O28+'DIA 10'!O28+'DIA 11'!O28+'DIA 12'!O28+'DIA 13'!O28+'DIA 14'!O28+'DIA 15'!O28+'DIA 16'!O28+'DIA 17'!O28+'DIA 18'!O28+'DIA 19'!O28+'DIA 20'!O28+'DIA 21'!O28+'DIA 22'!O28+'DIA 23'!O28+'DIA 24'!O28+'DIA 25'!O28+'DIA 26'!O28+'DIA 27'!O28+'DIA 28'!O28+'DIA 29'!O28+'DIA 30'!O28+'DIA 31'!O28</f>
        <v>0</v>
      </c>
      <c r="H27" s="128" t="e">
        <f t="shared" si="1"/>
        <v>#DIV/0!</v>
      </c>
    </row>
    <row r="28" spans="2:8" ht="15" thickBot="1">
      <c r="B28" s="123" t="str">
        <f>'DIA 01'!A29</f>
        <v>MG-120</v>
      </c>
      <c r="C28" s="130" t="s">
        <v>58</v>
      </c>
      <c r="D28" s="131"/>
      <c r="E28" s="136"/>
      <c r="F28" s="126">
        <f t="shared" si="0"/>
        <v>0</v>
      </c>
      <c r="G28" s="127">
        <f>'DIA 01'!O29+'DIA 02'!O29+'DIA 03'!O29+'DIA 04'!O29+'DIA 05'!O29+'DIA 06'!O29+'DIA 07'!O29+'DIA 08'!O29+'DIA 09'!O29+'DIA 10'!O29+'DIA 11'!O29+'DIA 12'!O29+'DIA 13'!O29+'DIA 14'!O29+'DIA 15'!O29+'DIA 16'!O29+'DIA 17'!O29+'DIA 18'!O29+'DIA 19'!O29+'DIA 20'!O29+'DIA 21'!O29+'DIA 22'!O29+'DIA 23'!O29+'DIA 24'!O29+'DIA 25'!O29+'DIA 26'!O29+'DIA 27'!O29+'DIA 28'!O29+'DIA 29'!O29+'DIA 30'!O29+'DIA 31'!O29</f>
        <v>0</v>
      </c>
      <c r="H28" s="128" t="e">
        <f t="shared" si="1"/>
        <v>#DIV/0!</v>
      </c>
    </row>
    <row r="29" spans="2:8" ht="15" thickBot="1">
      <c r="B29" s="123" t="str">
        <f>'DIA 01'!A30</f>
        <v>PROSERMIN</v>
      </c>
      <c r="C29" s="130" t="s">
        <v>58</v>
      </c>
      <c r="D29" s="131"/>
      <c r="E29" s="126"/>
      <c r="F29" s="126">
        <f t="shared" si="0"/>
        <v>0</v>
      </c>
      <c r="G29" s="127">
        <f>'DIA 01'!O30+'DIA 02'!O30+'DIA 03'!O30+'DIA 04'!O30+'DIA 05'!O30+'DIA 06'!O30+'DIA 07'!O30+'DIA 08'!O30+'DIA 09'!O30+'DIA 10'!O30+'DIA 11'!O30+'DIA 12'!O30+'DIA 13'!O30+'DIA 14'!O30+'DIA 15'!O30+'DIA 16'!O30+'DIA 17'!O30+'DIA 18'!O30+'DIA 19'!O30+'DIA 20'!O30+'DIA 21'!O30+'DIA 22'!O30+'DIA 23'!O30+'DIA 24'!O30+'DIA 25'!O30+'DIA 26'!O30+'DIA 27'!O30+'DIA 28'!O30+'DIA 29'!O30+'DIA 30'!O30+'DIA 31'!O30</f>
        <v>11296</v>
      </c>
      <c r="H29" s="128" t="e">
        <f t="shared" si="1"/>
        <v>#DIV/0!</v>
      </c>
    </row>
    <row r="30" spans="2:8" ht="15" thickBot="1">
      <c r="B30" s="123" t="str">
        <f>'DIA 01'!A31</f>
        <v>ST-060</v>
      </c>
      <c r="C30" s="130" t="s">
        <v>58</v>
      </c>
      <c r="D30" s="131"/>
      <c r="E30" s="126"/>
      <c r="F30" s="126">
        <f t="shared" si="0"/>
        <v>0</v>
      </c>
      <c r="G30" s="127">
        <f>'DIA 01'!O31+'DIA 02'!O31+'DIA 03'!O31+'DIA 04'!O31+'DIA 05'!O31+'DIA 06'!O31+'DIA 07'!O31+'DIA 08'!O31+'DIA 09'!O31+'DIA 10'!O31+'DIA 11'!O31+'DIA 12'!O31+'DIA 13'!O31+'DIA 14'!O31+'DIA 15'!O31+'DIA 16'!O31+'DIA 17'!O31+'DIA 18'!O31+'DIA 19'!O31+'DIA 20'!O31+'DIA 21'!O31+'DIA 22'!O31+'DIA 23'!O31+'DIA 24'!O31+'DIA 25'!O31+'DIA 26'!O31+'DIA 27'!O31+'DIA 28'!O31+'DIA 29'!O31+'DIA 30'!O31+'DIA 31'!O31</f>
        <v>0</v>
      </c>
      <c r="H30" s="128" t="e">
        <f t="shared" si="1"/>
        <v>#DIV/0!</v>
      </c>
    </row>
    <row r="31" spans="2:8" ht="15" thickBot="1">
      <c r="B31" s="123" t="str">
        <f>'DIA 01'!A32</f>
        <v>ST-53</v>
      </c>
      <c r="C31" s="130" t="s">
        <v>58</v>
      </c>
      <c r="D31" s="131"/>
      <c r="E31" s="126"/>
      <c r="F31" s="126">
        <f t="shared" si="0"/>
        <v>0</v>
      </c>
      <c r="G31" s="127">
        <f>'DIA 01'!O32+'DIA 02'!O32+'DIA 03'!O32+'DIA 04'!O32+'DIA 05'!O32+'DIA 06'!O32+'DIA 07'!O32+'DIA 08'!O32+'DIA 09'!O32+'DIA 10'!O32+'DIA 11'!O32+'DIA 12'!O32+'DIA 13'!O32+'DIA 14'!O32+'DIA 15'!O32+'DIA 16'!O32+'DIA 17'!O32+'DIA 18'!O32+'DIA 19'!O32+'DIA 20'!O32+'DIA 21'!O32+'DIA 22'!O32+'DIA 23'!O32+'DIA 24'!O32+'DIA 25'!O32+'DIA 26'!O32+'DIA 27'!O32+'DIA 28'!O32+'DIA 29'!O32+'DIA 30'!O32+'DIA 31'!O32</f>
        <v>0</v>
      </c>
      <c r="H31" s="128" t="e">
        <f t="shared" si="1"/>
        <v>#DIV/0!</v>
      </c>
    </row>
    <row r="32" spans="2:8" ht="15" thickBot="1">
      <c r="B32" s="123" t="str">
        <f>'DIA 01'!A33</f>
        <v>ST-039</v>
      </c>
      <c r="C32" s="130" t="s">
        <v>58</v>
      </c>
      <c r="D32" s="131"/>
      <c r="E32" s="126"/>
      <c r="F32" s="126">
        <f t="shared" si="0"/>
        <v>0</v>
      </c>
      <c r="G32" s="127">
        <f>'DIA 01'!O33+'DIA 02'!O33+'DIA 03'!O33+'DIA 04'!O33+'DIA 05'!O33+'DIA 06'!O33+'DIA 07'!O33+'DIA 08'!O33+'DIA 09'!O33+'DIA 10'!O33+'DIA 11'!O33+'DIA 12'!O33+'DIA 13'!O33+'DIA 14'!O33+'DIA 15'!O33+'DIA 16'!O33+'DIA 17'!O33+'DIA 18'!O33+'DIA 19'!O33+'DIA 20'!O33+'DIA 21'!O33+'DIA 22'!O33+'DIA 23'!O33+'DIA 24'!O33+'DIA 25'!O33+'DIA 26'!O33+'DIA 27'!O33+'DIA 28'!O33+'DIA 29'!O33+'DIA 30'!O33+'DIA 31'!O33</f>
        <v>6007</v>
      </c>
      <c r="H32" s="128" t="e">
        <f t="shared" si="1"/>
        <v>#DIV/0!</v>
      </c>
    </row>
    <row r="33" spans="2:8" ht="15" thickBot="1">
      <c r="B33" s="123" t="str">
        <f>'DIA 01'!A34</f>
        <v>JL-025</v>
      </c>
      <c r="C33" s="130" t="s">
        <v>58</v>
      </c>
      <c r="D33" s="131"/>
      <c r="E33" s="136"/>
      <c r="F33" s="126">
        <f t="shared" ref="F33" si="2">E33-D33</f>
        <v>0</v>
      </c>
      <c r="G33" s="127">
        <f>'DIA 01'!O27+'DIA 02'!O27+'DIA 03'!O38+'DIA 04'!O38+'DIA 05'!O38+'DIA 06'!O38+'DIA 07'!O38+'DIA 08'!O38+'DIA 09'!O38+'DIA 10'!O38+'DIA 11'!O38+'DIA 12'!O38+'DIA 13'!O38+'DIA 14'!O38+'DIA 15'!O38+'DIA 16'!O38+'DIA 17'!O38+'DIA 18'!O38+'DIA 19'!O38+'DIA 20'!O38+'DIA 21'!O38+'DIA 22'!O38+'DIA 23'!O38+'DIA 24'!O38+'DIA 25'!O38+'DIA 26'!O38+'DIA 27'!O38+'DIA 28'!O38+'DIA 29'!O38+'DIA 30'!O38+'DIA 31'!O38</f>
        <v>84</v>
      </c>
      <c r="H33" s="128" t="e">
        <f t="shared" ref="H33" si="3">G33/F33</f>
        <v>#DIV/0!</v>
      </c>
    </row>
    <row r="34" spans="2:8" ht="15" thickBot="1">
      <c r="G34" s="137">
        <f>SUM(G6:G33)</f>
        <v>35937</v>
      </c>
    </row>
  </sheetData>
  <mergeCells count="1">
    <mergeCell ref="B2:H4"/>
  </mergeCells>
  <conditionalFormatting sqref="C6:C7">
    <cfRule type="containsText" dxfId="25" priority="43" operator="containsText" text="FUERA DE SERVICIO">
      <formula>NOT(ISERROR(SEARCH("FUERA DE SERVICIO",C6)))</formula>
    </cfRule>
    <cfRule type="containsText" dxfId="24" priority="44" operator="containsText" text="DISPONIBLE">
      <formula>NOT(ISERROR(SEARCH("DISPONIBLE",C6)))</formula>
    </cfRule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C20">
    <cfRule type="containsText" dxfId="23" priority="40" operator="containsText" text="FUERA DE SERVICIO">
      <formula>NOT(ISERROR(SEARCH("FUERA DE SERVICIO",C10)))</formula>
    </cfRule>
    <cfRule type="containsText" dxfId="22" priority="41" operator="containsText" text="DISPONIBLE">
      <formula>NOT(ISERROR(SEARCH("DISPONIBLE",C10)))</formula>
    </cfRule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">
    <cfRule type="containsText" dxfId="21" priority="37" operator="containsText" text="FUERA DE SERVICIO">
      <formula>NOT(ISERROR(SEARCH("FUERA DE SERVICIO",C21)))</formula>
    </cfRule>
    <cfRule type="containsText" dxfId="20" priority="38" operator="containsText" text="DISPONIBLE">
      <formula>NOT(ISERROR(SEARCH("DISPONIBLE",C21)))</formula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C9">
    <cfRule type="containsText" dxfId="19" priority="46" operator="containsText" text="FUERA DE SERVICIO">
      <formula>NOT(ISERROR(SEARCH("FUERA DE SERVICIO",C8)))</formula>
    </cfRule>
    <cfRule type="containsText" dxfId="18" priority="47" operator="containsText" text="DISPONIBLE">
      <formula>NOT(ISERROR(SEARCH("DISPONIBLE",C8)))</formula>
    </cfRule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:C23">
    <cfRule type="containsText" dxfId="17" priority="28" operator="containsText" text="FUERA DE SERVICIO">
      <formula>NOT(ISERROR(SEARCH("FUERA DE SERVICIO",C22)))</formula>
    </cfRule>
    <cfRule type="containsText" dxfId="16" priority="29" operator="containsText" text="DISPONIBLE">
      <formula>NOT(ISERROR(SEARCH("DISPONIBLE",C22)))</formula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">
    <cfRule type="containsText" dxfId="15" priority="25" operator="containsText" text="FUERA DE SERVICIO">
      <formula>NOT(ISERROR(SEARCH("FUERA DE SERVICIO",C26)))</formula>
    </cfRule>
    <cfRule type="containsText" dxfId="14" priority="26" operator="containsText" text="DISPONIBLE">
      <formula>NOT(ISERROR(SEARCH("DISPONIBLE",C26)))</formula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C25">
    <cfRule type="containsText" dxfId="13" priority="31" operator="containsText" text="FUERA DE SERVICIO">
      <formula>NOT(ISERROR(SEARCH("FUERA DE SERVICIO",C24)))</formula>
    </cfRule>
    <cfRule type="containsText" dxfId="12" priority="32" operator="containsText" text="DISPONIBLE">
      <formula>NOT(ISERROR(SEARCH("DISPONIBLE",C24)))</formula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7">
    <cfRule type="containsText" dxfId="11" priority="22" operator="containsText" text="FUERA DE SERVICIO">
      <formula>NOT(ISERROR(SEARCH("FUERA DE SERVICIO",C27)))</formula>
    </cfRule>
    <cfRule type="containsText" dxfId="10" priority="23" operator="containsText" text="DISPONIBLE">
      <formula>NOT(ISERROR(SEARCH("DISPONIBLE",C27)))</formula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8">
    <cfRule type="containsText" dxfId="9" priority="19" operator="containsText" text="FUERA DE SERVICIO">
      <formula>NOT(ISERROR(SEARCH("FUERA DE SERVICIO",C28)))</formula>
    </cfRule>
    <cfRule type="containsText" dxfId="8" priority="20" operator="containsText" text="DISPONIBLE">
      <formula>NOT(ISERROR(SEARCH("DISPONIBLE",C28)))</formula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">
    <cfRule type="containsText" dxfId="7" priority="16" operator="containsText" text="FUERA DE SERVICIO">
      <formula>NOT(ISERROR(SEARCH("FUERA DE SERVICIO",C29)))</formula>
    </cfRule>
    <cfRule type="containsText" dxfId="6" priority="17" operator="containsText" text="DISPONIBLE">
      <formula>NOT(ISERROR(SEARCH("DISPONIBLE",C29)))</formula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0:C31">
    <cfRule type="containsText" dxfId="5" priority="7" operator="containsText" text="FUERA DE SERVICIO">
      <formula>NOT(ISERROR(SEARCH("FUERA DE SERVICIO",C30)))</formula>
    </cfRule>
    <cfRule type="containsText" dxfId="4" priority="8" operator="containsText" text="DISPONIBLE">
      <formula>NOT(ISERROR(SEARCH("DISPONIBLE",C30)))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2">
    <cfRule type="containsText" dxfId="3" priority="4" operator="containsText" text="FUERA DE SERVICIO">
      <formula>NOT(ISERROR(SEARCH("FUERA DE SERVICIO",C32)))</formula>
    </cfRule>
    <cfRule type="containsText" dxfId="2" priority="5" operator="containsText" text="DISPONIBLE">
      <formula>NOT(ISERROR(SEARCH("DISPONIBLE",C32)))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">
    <cfRule type="containsText" dxfId="1" priority="1" operator="containsText" text="FUERA DE SERVICIO">
      <formula>NOT(ISERROR(SEARCH("FUERA DE SERVICIO",C33)))</formula>
    </cfRule>
    <cfRule type="containsText" dxfId="0" priority="2" operator="containsText" text="DISPONIBLE">
      <formula>NOT(ISERROR(SEARCH("DISPONIBLE",C33)))</formula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1"/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34</vt:i4>
      </vt:variant>
      <vt:variant>
        <vt:lpstr>Rangos con nombre</vt:lpstr>
      </vt:variant>
      <vt:variant>
        <vt:i4>32</vt:i4>
      </vt:variant>
    </vt:vector>
  </HeadingPairs>
  <TitlesOfParts>
    <vt:vector size="66" baseType="lpstr">
      <vt:lpstr>DIA 01</vt:lpstr>
      <vt:lpstr>DIA 02</vt:lpstr>
      <vt:lpstr>DIA 03</vt:lpstr>
      <vt:lpstr>DIA 04</vt:lpstr>
      <vt:lpstr>DIA 05</vt:lpstr>
      <vt:lpstr>DIA 06</vt:lpstr>
      <vt:lpstr>DIA 07</vt:lpstr>
      <vt:lpstr>DIA 08</vt:lpstr>
      <vt:lpstr>DIA 09</vt:lpstr>
      <vt:lpstr>DIA 10</vt:lpstr>
      <vt:lpstr>DIA 11</vt:lpstr>
      <vt:lpstr>DIA 12</vt:lpstr>
      <vt:lpstr>DIA 13</vt:lpstr>
      <vt:lpstr>DIA 14</vt:lpstr>
      <vt:lpstr>DIA 15</vt:lpstr>
      <vt:lpstr>DIA 16</vt:lpstr>
      <vt:lpstr>DIA 17</vt:lpstr>
      <vt:lpstr>DIA 18</vt:lpstr>
      <vt:lpstr>DIA 19</vt:lpstr>
      <vt:lpstr>DIA 20</vt:lpstr>
      <vt:lpstr>DIA 21</vt:lpstr>
      <vt:lpstr>DIA 22</vt:lpstr>
      <vt:lpstr>DIA 23</vt:lpstr>
      <vt:lpstr>CONSUMO DIARIO</vt:lpstr>
      <vt:lpstr>DIA 24</vt:lpstr>
      <vt:lpstr>DIA 25</vt:lpstr>
      <vt:lpstr>DIA 26</vt:lpstr>
      <vt:lpstr>DIA 27</vt:lpstr>
      <vt:lpstr>DIA 28</vt:lpstr>
      <vt:lpstr>DIA 29</vt:lpstr>
      <vt:lpstr>DIA 30</vt:lpstr>
      <vt:lpstr>DIA 31</vt:lpstr>
      <vt:lpstr>RENDIMIENTO</vt:lpstr>
      <vt:lpstr>Hoja1</vt:lpstr>
      <vt:lpstr>'CONSUMO DIARIO'!Área_de_impresión</vt:lpstr>
      <vt:lpstr>'DIA 01'!Área_de_impresión</vt:lpstr>
      <vt:lpstr>'DIA 02'!Área_de_impresión</vt:lpstr>
      <vt:lpstr>'DIA 03'!Área_de_impresión</vt:lpstr>
      <vt:lpstr>'DIA 04'!Área_de_impresión</vt:lpstr>
      <vt:lpstr>'DIA 05'!Área_de_impresión</vt:lpstr>
      <vt:lpstr>'DIA 06'!Área_de_impresión</vt:lpstr>
      <vt:lpstr>'DIA 07'!Área_de_impresión</vt:lpstr>
      <vt:lpstr>'DIA 08'!Área_de_impresión</vt:lpstr>
      <vt:lpstr>'DIA 09'!Área_de_impresión</vt:lpstr>
      <vt:lpstr>'DIA 10'!Área_de_impresión</vt:lpstr>
      <vt:lpstr>'DIA 11'!Área_de_impresión</vt:lpstr>
      <vt:lpstr>'DIA 12'!Área_de_impresión</vt:lpstr>
      <vt:lpstr>'DIA 13'!Área_de_impresión</vt:lpstr>
      <vt:lpstr>'DIA 14'!Área_de_impresión</vt:lpstr>
      <vt:lpstr>'DIA 15'!Área_de_impresión</vt:lpstr>
      <vt:lpstr>'DIA 16'!Área_de_impresión</vt:lpstr>
      <vt:lpstr>'DIA 17'!Área_de_impresión</vt:lpstr>
      <vt:lpstr>'DIA 18'!Área_de_impresión</vt:lpstr>
      <vt:lpstr>'DIA 19'!Área_de_impresión</vt:lpstr>
      <vt:lpstr>'DIA 20'!Área_de_impresión</vt:lpstr>
      <vt:lpstr>'DIA 21'!Área_de_impresión</vt:lpstr>
      <vt:lpstr>'DIA 22'!Área_de_impresión</vt:lpstr>
      <vt:lpstr>'DIA 23'!Área_de_impresión</vt:lpstr>
      <vt:lpstr>'DIA 24'!Área_de_impresión</vt:lpstr>
      <vt:lpstr>'DIA 25'!Área_de_impresión</vt:lpstr>
      <vt:lpstr>'DIA 26'!Área_de_impresión</vt:lpstr>
      <vt:lpstr>'DIA 27'!Área_de_impresión</vt:lpstr>
      <vt:lpstr>'DIA 28'!Área_de_impresión</vt:lpstr>
      <vt:lpstr>'DIA 29'!Área_de_impresión</vt:lpstr>
      <vt:lpstr>'DIA 30'!Área_de_impresión</vt:lpstr>
      <vt:lpstr>'DIA 31'!Área_de_impresión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user;OCTAVIO OLGUIN</dc:creator>
  <cp:lastModifiedBy>MGA</cp:lastModifiedBy>
  <cp:lastPrinted>2026-05-01T15:04:02Z</cp:lastPrinted>
  <dcterms:created xsi:type="dcterms:W3CDTF">2020-08-06T17:55:21Z</dcterms:created>
  <dcterms:modified xsi:type="dcterms:W3CDTF">2026-05-22T13:08:28Z</dcterms:modified>
</cp:coreProperties>
</file>